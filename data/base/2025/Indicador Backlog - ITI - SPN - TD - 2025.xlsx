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"/>
    </mc:Choice>
  </mc:AlternateContent>
  <xr:revisionPtr revIDLastSave="0" documentId="8_{9B251C9A-0CC4-4373-B811-D962B074FC7C}" xr6:coauthVersionLast="47" xr6:coauthVersionMax="47" xr10:uidLastSave="{00000000-0000-0000-0000-000000000000}"/>
  <bookViews>
    <workbookView xWindow="-120" yWindow="-120" windowWidth="29040" windowHeight="15720" xr2:uid="{EC0D73CA-D194-4B74-873F-25D4587482A3}"/>
  </bookViews>
  <sheets>
    <sheet name="SPN" sheetId="1" r:id="rId1"/>
    <sheet name="ITI" sheetId="2" r:id="rId2"/>
  </sheets>
  <definedNames>
    <definedName name="_xlnm._FilterDatabase" localSheetId="0" hidden="1">SPN!$C$3:$C$3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2" l="1"/>
  <c r="V21" i="2"/>
  <c r="T21" i="2"/>
  <c r="U21" i="2"/>
  <c r="AC2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4" i="1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P21" i="2"/>
  <c r="Q21" i="2"/>
  <c r="P23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Q23" i="1"/>
  <c r="N21" i="2"/>
  <c r="L21" i="2"/>
  <c r="J21" i="2"/>
  <c r="H21" i="2"/>
  <c r="F21" i="2"/>
  <c r="G21" i="2"/>
  <c r="I21" i="2"/>
  <c r="K21" i="2"/>
  <c r="M21" i="2"/>
  <c r="O21" i="2"/>
  <c r="E21" i="2"/>
  <c r="D21" i="2"/>
  <c r="AB4" i="2"/>
  <c r="O23" i="1"/>
  <c r="AB4" i="1"/>
  <c r="L23" i="1"/>
  <c r="J23" i="1"/>
  <c r="I23" i="1"/>
  <c r="K23" i="1"/>
  <c r="M23" i="1"/>
  <c r="H23" i="1"/>
  <c r="F23" i="1"/>
  <c r="D23" i="1"/>
  <c r="AB21" i="2" l="1"/>
  <c r="AC21" i="2"/>
  <c r="AB23" i="1"/>
</calcChain>
</file>

<file path=xl/sharedStrings.xml><?xml version="1.0" encoding="utf-8"?>
<sst xmlns="http://schemas.openxmlformats.org/spreadsheetml/2006/main" count="119" uniqueCount="54">
  <si>
    <t xml:space="preserve">Anderson </t>
  </si>
  <si>
    <t xml:space="preserve">Arthur </t>
  </si>
  <si>
    <t xml:space="preserve">Clanderson </t>
  </si>
  <si>
    <t xml:space="preserve">Daniela </t>
  </si>
  <si>
    <t xml:space="preserve">Denis </t>
  </si>
  <si>
    <t xml:space="preserve">Elisandra </t>
  </si>
  <si>
    <t xml:space="preserve">Everton </t>
  </si>
  <si>
    <t xml:space="preserve">Fabio </t>
  </si>
  <si>
    <t xml:space="preserve">Higor </t>
  </si>
  <si>
    <t xml:space="preserve">Ivonei </t>
  </si>
  <si>
    <t xml:space="preserve">Kleberson </t>
  </si>
  <si>
    <t xml:space="preserve">Luan </t>
  </si>
  <si>
    <t xml:space="preserve">Luana </t>
  </si>
  <si>
    <t xml:space="preserve">Mara </t>
  </si>
  <si>
    <t xml:space="preserve">Marcos </t>
  </si>
  <si>
    <t xml:space="preserve">Nadir </t>
  </si>
  <si>
    <t xml:space="preserve">Rosane </t>
  </si>
  <si>
    <t>Nome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</si>
  <si>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</si>
  <si>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</si>
  <si>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</si>
  <si>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</si>
  <si>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</si>
  <si>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</si>
  <si>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</si>
  <si>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</si>
  <si>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</si>
  <si>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</si>
  <si>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</si>
  <si>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Fevereiro</t>
  </si>
  <si>
    <t>Total</t>
  </si>
  <si>
    <t>Backlog</t>
  </si>
  <si>
    <t>&lt;15 Dias</t>
  </si>
  <si>
    <t>Totais</t>
  </si>
  <si>
    <t>ID</t>
  </si>
  <si>
    <t>Willian</t>
  </si>
  <si>
    <t>Jacyr Popenda</t>
  </si>
  <si>
    <t>Felipe Nascimento</t>
  </si>
  <si>
    <t>Emerson Pellis</t>
  </si>
  <si>
    <t>Alana Neris</t>
  </si>
  <si>
    <t>Edson Junior</t>
  </si>
  <si>
    <t>Maria Eduarda</t>
  </si>
  <si>
    <t>Erick da Silva</t>
  </si>
  <si>
    <t>Patrick Doyle</t>
  </si>
  <si>
    <t>Guilherme Worel</t>
  </si>
  <si>
    <t>Lourival Moizes</t>
  </si>
  <si>
    <t>Eduardo Silva</t>
  </si>
  <si>
    <t>Jorgenaldo Reis</t>
  </si>
  <si>
    <t>Sostenes da Silva</t>
  </si>
  <si>
    <t>Michel Pessoa</t>
  </si>
  <si>
    <t>Jose Acevedo</t>
  </si>
  <si>
    <t>&lt;30 Dias</t>
  </si>
  <si>
    <t/>
  </si>
  <si>
    <t>Mateus neckel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</si>
</sst>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3"/>
      <name val="Arial Nova"/>
      <family val="2"/>
    </font>
    <font>
      <sz val="8"/>
      <name val="Aptos Narrow"/>
      <family val="2"/>
      <scheme val="minor"/>
    </font>
    <font>
      <b/>
      <sz val="10"/>
      <color theme="3"/>
      <name val="Arial Nova"/>
      <family val="2"/>
    </font>
    <font>
      <b/>
      <sz val="10"/>
      <color theme="1"/>
      <name val="Arial Nova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4" fillId="0" borderId="0" xfId="2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2" xfId="0" applyBorder="1"/>
    <xf numFmtId="0" fontId="6" fillId="0" borderId="2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0" fontId="0" fillId="0" borderId="2" xfId="1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8" fillId="0" borderId="2" xfId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9" fontId="8" fillId="0" borderId="2" xfId="1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1" fillId="0" borderId="2" xfId="1" applyFont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0" fontId="4" fillId="0" borderId="3" xfId="2" applyFont="1" applyFill="1" applyBorder="1" applyAlignment="1">
      <alignment horizontal="left" vertical="center"/>
    </xf>
    <xf numFmtId="2" fontId="0" fillId="0" borderId="2" xfId="0" applyNumberFormat="1" applyBorder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quotePrefix="1"/>
    <xf numFmtId="10" fontId="8" fillId="0" borderId="2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4" xfId="3" applyFont="1" applyBorder="1" applyAlignment="1">
      <alignment horizontal="right" vertical="center"/>
    </xf>
    <xf numFmtId="0" fontId="7" fillId="0" borderId="5" xfId="3" applyFont="1" applyBorder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7" fillId="0" borderId="2" xfId="3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horizontal="center"/>
    </xf>
  </cellXfs>
  <cellStyles count="4">
    <cellStyle name="Normal" xfId="0" builtinId="0"/>
    <cellStyle name="Normal_Agente" xfId="3" xr:uid="{B677775E-2411-42BD-B241-B2155AA8B9BF}"/>
    <cellStyle name="Porcentagem" xfId="1" builtinId="5"/>
    <cellStyle name="Título 1" xfId="2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C636-171E-4903-9F78-392967AEF5C6}">
  <dimension ref="B2:AC23"/>
  <sheetViews>
    <sheetView showGridLines="0" tabSelected="1" zoomScaleNormal="100" workbookViewId="0">
      <selection activeCell="H31" sqref="H31"/>
    </sheetView>
  </sheetViews>
  <sheetFormatPr defaultRowHeight="15" x14ac:dyDescent="0.25"/>
  <cols>
    <col min="1" max="1" width="4.140625" customWidth="1"/>
    <col min="2" max="2" width="6" style="1" bestFit="1" customWidth="1"/>
    <col min="3" max="3" width="10.85546875" bestFit="1" customWidth="1"/>
    <col min="4" max="4" width="8" style="1" customWidth="1"/>
    <col min="5" max="5" width="8.42578125" style="1" bestFit="1" customWidth="1"/>
    <col min="6" max="6" width="7.85546875" style="1" bestFit="1" customWidth="1"/>
    <col min="7" max="7" width="8.42578125" style="1" bestFit="1" customWidth="1"/>
    <col min="8" max="8" width="7.85546875" style="1" bestFit="1" customWidth="1"/>
    <col min="9" max="9" width="8.42578125" style="1" bestFit="1" customWidth="1"/>
    <col min="10" max="10" width="7.85546875" style="1" bestFit="1" customWidth="1"/>
    <col min="11" max="11" width="8.42578125" style="1" bestFit="1" customWidth="1"/>
    <col min="12" max="12" width="7.85546875" style="1" bestFit="1" customWidth="1"/>
    <col min="13" max="13" width="8.42578125" style="1" bestFit="1" customWidth="1"/>
    <col min="14" max="14" width="8.140625" bestFit="1" customWidth="1"/>
    <col min="15" max="15" width="8.42578125" bestFit="1" customWidth="1"/>
    <col min="16" max="16" width="7.85546875" style="1" bestFit="1" customWidth="1"/>
    <col min="17" max="17" width="8.42578125" bestFit="1" customWidth="1"/>
    <col min="18" max="18" width="7.85546875" bestFit="1" customWidth="1"/>
    <col min="19" max="19" width="8.42578125" bestFit="1" customWidth="1"/>
    <col min="20" max="20" width="7.85546875" bestFit="1" customWidth="1"/>
    <col min="21" max="21" width="8.42578125" bestFit="1" customWidth="1"/>
    <col min="22" max="22" width="7.85546875" bestFit="1" customWidth="1"/>
    <col min="23" max="23" width="8.42578125" bestFit="1" customWidth="1"/>
    <col min="24" max="24" width="7.85546875" bestFit="1" customWidth="1"/>
    <col min="25" max="25" width="8.42578125" bestFit="1" customWidth="1"/>
    <col min="26" max="26" width="7.85546875" bestFit="1" customWidth="1"/>
    <col min="27" max="27" width="8.42578125" bestFit="1" customWidth="1"/>
    <col min="28" max="28" width="7.85546875" bestFit="1" customWidth="1"/>
    <col min="29" max="29" width="8.42578125" style="1" customWidth="1"/>
  </cols>
  <sheetData>
    <row r="2" spans="2:29" x14ac:dyDescent="0.25">
      <c r="D2" s="25" t="s">
        <v>18</v>
      </c>
      <c r="E2" s="26"/>
      <c r="F2" s="25" t="s">
        <v>29</v>
      </c>
      <c r="G2" s="26"/>
      <c r="H2" s="25" t="s">
        <v>19</v>
      </c>
      <c r="I2" s="26"/>
      <c r="J2" s="25" t="s">
        <v>20</v>
      </c>
      <c r="K2" s="26"/>
      <c r="L2" s="25" t="s">
        <v>21</v>
      </c>
      <c r="M2" s="26"/>
      <c r="N2" s="25" t="s">
        <v>22</v>
      </c>
      <c r="O2" s="26"/>
      <c r="P2" s="25" t="s">
        <v>23</v>
      </c>
      <c r="Q2" s="26"/>
      <c r="R2" s="25" t="s">
        <v>24</v>
      </c>
      <c r="S2" s="26"/>
      <c r="T2" s="25" t="s">
        <v>25</v>
      </c>
      <c r="U2" s="26"/>
      <c r="V2" s="25" t="s">
        <v>26</v>
      </c>
      <c r="W2" s="26"/>
      <c r="X2" s="25" t="s">
        <v>27</v>
      </c>
      <c r="Y2" s="26"/>
      <c r="Z2" s="25" t="s">
        <v>28</v>
      </c>
      <c r="AA2" s="26"/>
      <c r="AB2" s="25" t="s">
        <v>33</v>
      </c>
      <c r="AC2" s="26"/>
    </row>
    <row r="3" spans="2:29" x14ac:dyDescent="0.25">
      <c r="B3" s="21" t="s">
        <v>34</v>
      </c>
      <c r="C3" s="6" t="s">
        <v>17</v>
      </c>
      <c r="D3" s="21" t="s">
        <v>31</v>
      </c>
      <c r="E3" s="21" t="s">
        <v>32</v>
      </c>
      <c r="F3" s="21" t="s">
        <v>31</v>
      </c>
      <c r="G3" s="21" t="s">
        <v>32</v>
      </c>
      <c r="H3" s="21" t="s">
        <v>31</v>
      </c>
      <c r="I3" s="21" t="s">
        <v>32</v>
      </c>
      <c r="J3" s="21" t="s">
        <v>31</v>
      </c>
      <c r="K3" s="21" t="s">
        <v>32</v>
      </c>
      <c r="L3" s="21" t="s">
        <v>31</v>
      </c>
      <c r="M3" s="21" t="s">
        <v>32</v>
      </c>
      <c r="N3" s="21" t="s">
        <v>31</v>
      </c>
      <c r="O3" s="21" t="s">
        <v>32</v>
      </c>
      <c r="P3" s="21" t="s">
        <v>31</v>
      </c>
      <c r="Q3" s="21" t="s">
        <v>32</v>
      </c>
      <c r="R3" s="21" t="s">
        <v>31</v>
      </c>
      <c r="S3" s="21" t="s">
        <v>32</v>
      </c>
      <c r="T3" s="21" t="s">
        <v>31</v>
      </c>
      <c r="U3" s="21" t="s">
        <v>32</v>
      </c>
      <c r="V3" s="21" t="s">
        <v>31</v>
      </c>
      <c r="W3" s="21" t="s">
        <v>32</v>
      </c>
      <c r="X3" s="21" t="s">
        <v>31</v>
      </c>
      <c r="Y3" s="21" t="s">
        <v>32</v>
      </c>
      <c r="Z3" s="21" t="s">
        <v>31</v>
      </c>
      <c r="AA3" s="21" t="s">
        <v>32</v>
      </c>
      <c r="AB3" s="21" t="s">
        <v>31</v>
      </c>
      <c r="AC3" s="21" t="s">
        <v>32</v>
      </c>
    </row>
    <row r="4" spans="2:29" x14ac:dyDescent="0.25">
      <c r="B4" s="3">
        <v>1</v>
      </c>
      <c r="C4" s="7" t="s">
        <v>0</v>
      </c>
      <c r="D4" s="3">
        <v>5</v>
      </c>
      <c r="E4" s="4">
        <v>1</v>
      </c>
      <c r="F4" s="3">
        <v>0</v>
      </c>
      <c r="G4" s="4">
        <v>1</v>
      </c>
      <c r="H4" s="8">
        <v>0</v>
      </c>
      <c r="I4" s="4">
        <v>1</v>
      </c>
      <c r="J4" s="3">
        <v>0</v>
      </c>
      <c r="K4" s="4">
        <v>1</v>
      </c>
      <c r="L4" s="3">
        <v>0</v>
      </c>
      <c r="M4" s="4">
        <v>1</v>
      </c>
      <c r="N4" s="3">
        <v>0</v>
      </c>
      <c r="O4" s="4">
        <v>1</v>
      </c>
      <c r="P4" s="3">
        <v>0</v>
      </c>
      <c r="Q4" s="4">
        <v>1</v>
      </c>
      <c r="R4" s="3">
        <v>0</v>
      </c>
      <c r="S4" s="4">
        <v>1</v>
      </c>
      <c r="T4" s="3">
        <v>0</v>
      </c>
      <c r="U4" s="4">
        <v>1</v>
      </c>
      <c r="V4" s="3">
        <v>0</v>
      </c>
      <c r="W4" s="4">
        <v>1</v>
      </c>
      <c r="X4" s="5"/>
      <c r="Y4" s="5"/>
      <c r="Z4" s="5"/>
      <c r="AA4" s="5"/>
      <c r="AB4" s="3">
        <f>D4+F4+H4+J4+L4+N4+P4+R4+T4+V4+X4+Z4</f>
        <v>5</v>
      </c>
      <c r="AC4" s="9">
        <f>(E4+G4+I4+K4+M4+O4+Q4+S4+U4+W4)/10</f>
        <v>1</v>
      </c>
    </row>
    <row r="5" spans="2:29" x14ac:dyDescent="0.25">
      <c r="B5" s="3">
        <v>2</v>
      </c>
      <c r="C5" s="7" t="s">
        <v>1</v>
      </c>
      <c r="D5" s="3">
        <v>0</v>
      </c>
      <c r="E5" s="4">
        <v>1</v>
      </c>
      <c r="F5" s="3">
        <v>1</v>
      </c>
      <c r="G5" s="4">
        <v>1</v>
      </c>
      <c r="H5" s="8">
        <v>2</v>
      </c>
      <c r="I5" s="4">
        <v>1</v>
      </c>
      <c r="J5" s="3">
        <v>3</v>
      </c>
      <c r="K5" s="4">
        <v>1</v>
      </c>
      <c r="L5" s="3">
        <v>3</v>
      </c>
      <c r="M5" s="11">
        <v>0.99</v>
      </c>
      <c r="N5" s="3">
        <v>1</v>
      </c>
      <c r="O5" s="11">
        <v>0.99</v>
      </c>
      <c r="P5" s="3">
        <v>0</v>
      </c>
      <c r="Q5" s="4">
        <v>1</v>
      </c>
      <c r="R5" s="3">
        <v>0</v>
      </c>
      <c r="S5" s="4">
        <v>1</v>
      </c>
      <c r="T5" s="3">
        <v>0</v>
      </c>
      <c r="U5" s="4">
        <v>1</v>
      </c>
      <c r="V5" s="3">
        <v>0</v>
      </c>
      <c r="W5" s="4">
        <v>1</v>
      </c>
      <c r="X5" s="5"/>
      <c r="Y5" s="5"/>
      <c r="Z5" s="5"/>
      <c r="AA5" s="5"/>
      <c r="AB5" s="3">
        <f t="shared" ref="AB5:AB21" si="0">D5+F5+H5+J5+L5+N5+P5+R5+T5+V5+X5+Z5</f>
        <v>10</v>
      </c>
      <c r="AC5" s="24">
        <f t="shared" ref="AC5:AC21" si="1">(E5+G5+I5+K5+M5+O5+Q5+S5+U5+W5)/10</f>
        <v>0.998</v>
      </c>
    </row>
    <row r="6" spans="2:29" x14ac:dyDescent="0.25">
      <c r="B6" s="3">
        <v>3</v>
      </c>
      <c r="C6" s="7" t="s">
        <v>2</v>
      </c>
      <c r="D6" s="3">
        <v>0</v>
      </c>
      <c r="E6" s="4">
        <v>1</v>
      </c>
      <c r="F6" s="3">
        <v>0</v>
      </c>
      <c r="G6" s="4">
        <v>1</v>
      </c>
      <c r="H6" s="8">
        <v>0</v>
      </c>
      <c r="I6" s="4">
        <v>1</v>
      </c>
      <c r="J6" s="3">
        <v>0</v>
      </c>
      <c r="K6" s="4">
        <v>1</v>
      </c>
      <c r="L6" s="3">
        <v>1</v>
      </c>
      <c r="M6" s="4">
        <v>1</v>
      </c>
      <c r="N6" s="3">
        <v>0</v>
      </c>
      <c r="O6" s="4">
        <v>1</v>
      </c>
      <c r="P6" s="3">
        <v>0</v>
      </c>
      <c r="Q6" s="4">
        <v>1</v>
      </c>
      <c r="R6" s="3">
        <v>0</v>
      </c>
      <c r="S6" s="4">
        <v>1</v>
      </c>
      <c r="T6" s="3">
        <v>0</v>
      </c>
      <c r="U6" s="4">
        <v>1</v>
      </c>
      <c r="V6" s="3">
        <v>0</v>
      </c>
      <c r="W6" s="4">
        <v>1</v>
      </c>
      <c r="X6" s="5"/>
      <c r="Y6" s="5"/>
      <c r="Z6" s="5"/>
      <c r="AA6" s="5"/>
      <c r="AB6" s="3">
        <f t="shared" si="0"/>
        <v>1</v>
      </c>
      <c r="AC6" s="9">
        <f t="shared" si="1"/>
        <v>1</v>
      </c>
    </row>
    <row r="7" spans="2:29" x14ac:dyDescent="0.25">
      <c r="B7" s="3">
        <v>4</v>
      </c>
      <c r="C7" s="7" t="s">
        <v>3</v>
      </c>
      <c r="D7" s="3">
        <v>0</v>
      </c>
      <c r="E7" s="4">
        <v>1</v>
      </c>
      <c r="F7" s="3">
        <v>0</v>
      </c>
      <c r="G7" s="4">
        <v>1</v>
      </c>
      <c r="H7" s="8">
        <v>0</v>
      </c>
      <c r="I7" s="4">
        <v>1</v>
      </c>
      <c r="J7" s="3">
        <v>0</v>
      </c>
      <c r="K7" s="4">
        <v>1</v>
      </c>
      <c r="L7" s="3">
        <v>0</v>
      </c>
      <c r="M7" s="4">
        <v>1</v>
      </c>
      <c r="N7" s="3">
        <v>0</v>
      </c>
      <c r="O7" s="4">
        <v>1</v>
      </c>
      <c r="P7" s="3">
        <v>0</v>
      </c>
      <c r="Q7" s="4">
        <v>1</v>
      </c>
      <c r="R7" s="3">
        <v>0</v>
      </c>
      <c r="S7" s="4">
        <v>1</v>
      </c>
      <c r="T7" s="3">
        <v>0</v>
      </c>
      <c r="U7" s="4">
        <v>1</v>
      </c>
      <c r="V7" s="3">
        <v>0</v>
      </c>
      <c r="W7" s="4">
        <v>1</v>
      </c>
      <c r="X7" s="5"/>
      <c r="Y7" s="5"/>
      <c r="Z7" s="5"/>
      <c r="AA7" s="5"/>
      <c r="AB7" s="3">
        <f t="shared" si="0"/>
        <v>0</v>
      </c>
      <c r="AC7" s="9">
        <f t="shared" si="1"/>
        <v>1</v>
      </c>
    </row>
    <row r="8" spans="2:29" x14ac:dyDescent="0.25">
      <c r="B8" s="3">
        <v>5</v>
      </c>
      <c r="C8" s="7" t="s">
        <v>4</v>
      </c>
      <c r="D8" s="3">
        <v>2</v>
      </c>
      <c r="E8" s="4">
        <v>1</v>
      </c>
      <c r="F8" s="3">
        <v>0</v>
      </c>
      <c r="G8" s="4">
        <v>1</v>
      </c>
      <c r="H8" s="8">
        <v>0</v>
      </c>
      <c r="I8" s="4">
        <v>1</v>
      </c>
      <c r="J8" s="3">
        <v>0</v>
      </c>
      <c r="K8" s="4">
        <v>1</v>
      </c>
      <c r="L8" s="3">
        <v>1</v>
      </c>
      <c r="M8" s="4">
        <v>1</v>
      </c>
      <c r="N8" s="3">
        <v>0</v>
      </c>
      <c r="O8" s="4">
        <v>1</v>
      </c>
      <c r="P8" s="3">
        <v>0</v>
      </c>
      <c r="Q8" s="4">
        <v>1</v>
      </c>
      <c r="R8" s="3">
        <v>0</v>
      </c>
      <c r="S8" s="4">
        <v>1</v>
      </c>
      <c r="T8" s="3">
        <v>0</v>
      </c>
      <c r="U8" s="4">
        <v>1</v>
      </c>
      <c r="V8" s="3">
        <v>0</v>
      </c>
      <c r="W8" s="4">
        <v>1</v>
      </c>
      <c r="X8" s="5"/>
      <c r="Y8" s="5"/>
      <c r="Z8" s="5"/>
      <c r="AA8" s="5"/>
      <c r="AB8" s="3">
        <f t="shared" si="0"/>
        <v>3</v>
      </c>
      <c r="AC8" s="9">
        <f t="shared" si="1"/>
        <v>1</v>
      </c>
    </row>
    <row r="9" spans="2:29" x14ac:dyDescent="0.25">
      <c r="B9" s="3">
        <v>6</v>
      </c>
      <c r="C9" s="7" t="s">
        <v>5</v>
      </c>
      <c r="D9" s="3">
        <v>0</v>
      </c>
      <c r="E9" s="4">
        <v>1</v>
      </c>
      <c r="F9" s="3">
        <v>0</v>
      </c>
      <c r="G9" s="4">
        <v>1</v>
      </c>
      <c r="H9" s="8">
        <v>0</v>
      </c>
      <c r="I9" s="4">
        <v>1</v>
      </c>
      <c r="J9" s="3">
        <v>0</v>
      </c>
      <c r="K9" s="4">
        <v>1</v>
      </c>
      <c r="L9" s="3">
        <v>0</v>
      </c>
      <c r="M9" s="4">
        <v>1</v>
      </c>
      <c r="N9" s="3">
        <v>0</v>
      </c>
      <c r="O9" s="4">
        <v>1</v>
      </c>
      <c r="P9" s="3">
        <v>0</v>
      </c>
      <c r="Q9" s="4">
        <v>1</v>
      </c>
      <c r="R9" s="3">
        <v>0</v>
      </c>
      <c r="S9" s="4">
        <v>1</v>
      </c>
      <c r="T9" s="3">
        <v>0</v>
      </c>
      <c r="U9" s="4">
        <v>1</v>
      </c>
      <c r="V9" s="3">
        <v>0</v>
      </c>
      <c r="W9" s="4">
        <v>1</v>
      </c>
      <c r="X9" s="5"/>
      <c r="Y9" s="5"/>
      <c r="Z9" s="5"/>
      <c r="AA9" s="5"/>
      <c r="AB9" s="3">
        <f t="shared" si="0"/>
        <v>0</v>
      </c>
      <c r="AC9" s="9">
        <f t="shared" si="1"/>
        <v>1</v>
      </c>
    </row>
    <row r="10" spans="2:29" x14ac:dyDescent="0.25">
      <c r="B10" s="3">
        <v>7</v>
      </c>
      <c r="C10" s="7" t="s">
        <v>6</v>
      </c>
      <c r="D10" s="3">
        <v>0</v>
      </c>
      <c r="E10" s="4">
        <v>1</v>
      </c>
      <c r="F10" s="3">
        <v>0</v>
      </c>
      <c r="G10" s="4">
        <v>1</v>
      </c>
      <c r="H10" s="8">
        <v>0</v>
      </c>
      <c r="I10" s="4">
        <v>1</v>
      </c>
      <c r="J10" s="3">
        <v>0</v>
      </c>
      <c r="K10" s="4">
        <v>1</v>
      </c>
      <c r="L10" s="3">
        <v>0</v>
      </c>
      <c r="M10" s="4">
        <v>1</v>
      </c>
      <c r="N10" s="3">
        <v>0</v>
      </c>
      <c r="O10" s="4">
        <v>1</v>
      </c>
      <c r="P10" s="3">
        <v>0</v>
      </c>
      <c r="Q10" s="4">
        <v>1</v>
      </c>
      <c r="R10" s="3">
        <v>0</v>
      </c>
      <c r="S10" s="4">
        <v>1</v>
      </c>
      <c r="T10" s="3">
        <v>0</v>
      </c>
      <c r="U10" s="4">
        <v>1</v>
      </c>
      <c r="V10" s="3">
        <v>0</v>
      </c>
      <c r="W10" s="4">
        <v>1</v>
      </c>
      <c r="X10" s="5"/>
      <c r="Y10" s="5"/>
      <c r="Z10" s="5"/>
      <c r="AA10" s="5"/>
      <c r="AB10" s="3">
        <f t="shared" si="0"/>
        <v>0</v>
      </c>
      <c r="AC10" s="9">
        <f t="shared" si="1"/>
        <v>1</v>
      </c>
    </row>
    <row r="11" spans="2:29" x14ac:dyDescent="0.25">
      <c r="B11" s="3">
        <v>8</v>
      </c>
      <c r="C11" s="7" t="s">
        <v>7</v>
      </c>
      <c r="D11" s="3">
        <v>0</v>
      </c>
      <c r="E11" s="4">
        <v>1</v>
      </c>
      <c r="F11" s="3">
        <v>0</v>
      </c>
      <c r="G11" s="4">
        <v>1</v>
      </c>
      <c r="H11" s="8">
        <v>0</v>
      </c>
      <c r="I11" s="4">
        <v>1</v>
      </c>
      <c r="J11" s="3">
        <v>0</v>
      </c>
      <c r="K11" s="4">
        <v>1</v>
      </c>
      <c r="L11" s="3">
        <v>0</v>
      </c>
      <c r="M11" s="4">
        <v>1</v>
      </c>
      <c r="N11" s="3">
        <v>0</v>
      </c>
      <c r="O11" s="4">
        <v>1</v>
      </c>
      <c r="P11" s="3">
        <v>0</v>
      </c>
      <c r="Q11" s="4">
        <v>1</v>
      </c>
      <c r="R11" s="3">
        <v>0</v>
      </c>
      <c r="S11" s="4">
        <v>1</v>
      </c>
      <c r="T11" s="3">
        <v>0</v>
      </c>
      <c r="U11" s="4">
        <v>1</v>
      </c>
      <c r="V11" s="3">
        <v>0</v>
      </c>
      <c r="W11" s="4">
        <v>1</v>
      </c>
      <c r="X11" s="5"/>
      <c r="Y11" s="5"/>
      <c r="Z11" s="5"/>
      <c r="AA11" s="5"/>
      <c r="AB11" s="3">
        <f t="shared" si="0"/>
        <v>0</v>
      </c>
      <c r="AC11" s="9">
        <f t="shared" si="1"/>
        <v>1</v>
      </c>
    </row>
    <row r="12" spans="2:29" x14ac:dyDescent="0.25">
      <c r="B12" s="3">
        <v>9</v>
      </c>
      <c r="C12" s="7" t="s">
        <v>8</v>
      </c>
      <c r="D12" s="3">
        <v>2</v>
      </c>
      <c r="E12" s="4">
        <v>1</v>
      </c>
      <c r="F12" s="3">
        <v>6</v>
      </c>
      <c r="G12" s="4">
        <v>1</v>
      </c>
      <c r="H12" s="8">
        <v>8</v>
      </c>
      <c r="I12" s="4">
        <v>0.99</v>
      </c>
      <c r="J12" s="3">
        <v>5</v>
      </c>
      <c r="K12" s="4">
        <v>1</v>
      </c>
      <c r="L12" s="3">
        <v>9</v>
      </c>
      <c r="M12" s="11">
        <v>0.99</v>
      </c>
      <c r="N12" s="3">
        <v>0</v>
      </c>
      <c r="O12" s="16">
        <v>1</v>
      </c>
      <c r="P12" s="3">
        <v>0</v>
      </c>
      <c r="Q12" s="4">
        <v>1</v>
      </c>
      <c r="R12" s="3">
        <v>0</v>
      </c>
      <c r="S12" s="4">
        <v>1</v>
      </c>
      <c r="T12" s="3">
        <v>0</v>
      </c>
      <c r="U12" s="4">
        <v>1</v>
      </c>
      <c r="V12" s="3">
        <v>0</v>
      </c>
      <c r="W12" s="4">
        <v>1</v>
      </c>
      <c r="X12" s="5"/>
      <c r="Y12" s="5"/>
      <c r="Z12" s="5"/>
      <c r="AA12" s="5"/>
      <c r="AB12" s="3">
        <f t="shared" si="0"/>
        <v>30</v>
      </c>
      <c r="AC12" s="24">
        <f t="shared" si="1"/>
        <v>0.998</v>
      </c>
    </row>
    <row r="13" spans="2:29" x14ac:dyDescent="0.25">
      <c r="B13" s="3">
        <v>10</v>
      </c>
      <c r="C13" s="7" t="s">
        <v>9</v>
      </c>
      <c r="D13" s="3">
        <v>0</v>
      </c>
      <c r="E13" s="4">
        <v>1</v>
      </c>
      <c r="F13" s="3">
        <v>2</v>
      </c>
      <c r="G13" s="4">
        <v>1</v>
      </c>
      <c r="H13" s="8">
        <v>2</v>
      </c>
      <c r="I13" s="4">
        <v>1</v>
      </c>
      <c r="J13" s="3">
        <v>0</v>
      </c>
      <c r="K13" s="4">
        <v>1</v>
      </c>
      <c r="L13" s="3">
        <v>0</v>
      </c>
      <c r="M13" s="4">
        <v>1</v>
      </c>
      <c r="N13" s="3">
        <v>0</v>
      </c>
      <c r="O13" s="4">
        <v>1</v>
      </c>
      <c r="P13" s="3">
        <v>0</v>
      </c>
      <c r="Q13" s="4">
        <v>1</v>
      </c>
      <c r="R13" s="3">
        <v>0</v>
      </c>
      <c r="S13" s="4">
        <v>1</v>
      </c>
      <c r="T13" s="3">
        <v>0</v>
      </c>
      <c r="U13" s="4">
        <v>1</v>
      </c>
      <c r="V13" s="3">
        <v>0</v>
      </c>
      <c r="W13" s="4">
        <v>1</v>
      </c>
      <c r="X13" s="5"/>
      <c r="Y13" s="5"/>
      <c r="Z13" s="5"/>
      <c r="AA13" s="5"/>
      <c r="AB13" s="3">
        <f t="shared" si="0"/>
        <v>4</v>
      </c>
      <c r="AC13" s="9">
        <f t="shared" si="1"/>
        <v>1</v>
      </c>
    </row>
    <row r="14" spans="2:29" x14ac:dyDescent="0.25">
      <c r="B14" s="3">
        <v>11</v>
      </c>
      <c r="C14" s="7" t="s">
        <v>10</v>
      </c>
      <c r="D14" s="3">
        <v>0</v>
      </c>
      <c r="E14" s="4">
        <v>1</v>
      </c>
      <c r="F14" s="3">
        <v>1</v>
      </c>
      <c r="G14" s="4">
        <v>1</v>
      </c>
      <c r="H14" s="8">
        <v>0</v>
      </c>
      <c r="I14" s="4">
        <v>1</v>
      </c>
      <c r="J14" s="3">
        <v>0</v>
      </c>
      <c r="K14" s="4">
        <v>1</v>
      </c>
      <c r="L14" s="3">
        <v>3</v>
      </c>
      <c r="M14" s="4">
        <v>1</v>
      </c>
      <c r="N14" s="3">
        <v>0</v>
      </c>
      <c r="O14" s="4">
        <v>1</v>
      </c>
      <c r="P14" s="3">
        <v>3</v>
      </c>
      <c r="Q14" s="11">
        <v>0.99</v>
      </c>
      <c r="R14" s="3">
        <v>0</v>
      </c>
      <c r="S14" s="4">
        <v>1</v>
      </c>
      <c r="T14" s="3">
        <v>0</v>
      </c>
      <c r="U14" s="4">
        <v>1</v>
      </c>
      <c r="V14" s="3">
        <v>0</v>
      </c>
      <c r="W14" s="4">
        <v>1</v>
      </c>
      <c r="X14" s="5"/>
      <c r="Y14" s="5"/>
      <c r="Z14" s="5"/>
      <c r="AA14" s="5"/>
      <c r="AB14" s="3">
        <f t="shared" si="0"/>
        <v>7</v>
      </c>
      <c r="AC14" s="24">
        <f t="shared" si="1"/>
        <v>0.999</v>
      </c>
    </row>
    <row r="15" spans="2:29" x14ac:dyDescent="0.25">
      <c r="B15" s="3">
        <v>12</v>
      </c>
      <c r="C15" s="7" t="s">
        <v>11</v>
      </c>
      <c r="D15" s="3">
        <v>1</v>
      </c>
      <c r="E15" s="4">
        <v>1</v>
      </c>
      <c r="F15" s="3">
        <v>3</v>
      </c>
      <c r="G15" s="4">
        <v>1</v>
      </c>
      <c r="H15" s="8">
        <v>0</v>
      </c>
      <c r="I15" s="4">
        <v>1</v>
      </c>
      <c r="J15" s="3">
        <v>0</v>
      </c>
      <c r="K15" s="4">
        <v>1</v>
      </c>
      <c r="L15" s="3">
        <v>1</v>
      </c>
      <c r="M15" s="4">
        <v>1</v>
      </c>
      <c r="N15" s="3">
        <v>0</v>
      </c>
      <c r="O15" s="4">
        <v>1</v>
      </c>
      <c r="P15" s="3">
        <v>1</v>
      </c>
      <c r="Q15" s="11">
        <v>0.99</v>
      </c>
      <c r="R15" s="3">
        <v>0</v>
      </c>
      <c r="S15" s="4">
        <v>1</v>
      </c>
      <c r="T15" s="3">
        <v>0</v>
      </c>
      <c r="U15" s="4">
        <v>1</v>
      </c>
      <c r="V15" s="3">
        <v>0</v>
      </c>
      <c r="W15" s="4">
        <v>1</v>
      </c>
      <c r="X15" s="5"/>
      <c r="Y15" s="5"/>
      <c r="Z15" s="5"/>
      <c r="AA15" s="5"/>
      <c r="AB15" s="3">
        <f t="shared" si="0"/>
        <v>6</v>
      </c>
      <c r="AC15" s="24">
        <f t="shared" si="1"/>
        <v>0.999</v>
      </c>
    </row>
    <row r="16" spans="2:29" x14ac:dyDescent="0.25">
      <c r="B16" s="3">
        <v>13</v>
      </c>
      <c r="C16" s="7" t="s">
        <v>12</v>
      </c>
      <c r="D16" s="3">
        <v>0</v>
      </c>
      <c r="E16" s="4">
        <v>1</v>
      </c>
      <c r="F16" s="3">
        <v>8</v>
      </c>
      <c r="G16" s="4">
        <v>1</v>
      </c>
      <c r="H16" s="8">
        <v>0</v>
      </c>
      <c r="I16" s="4">
        <v>1</v>
      </c>
      <c r="J16" s="3">
        <v>0</v>
      </c>
      <c r="K16" s="4">
        <v>1</v>
      </c>
      <c r="L16" s="3">
        <v>0</v>
      </c>
      <c r="M16" s="4">
        <v>1</v>
      </c>
      <c r="N16" s="3">
        <v>0</v>
      </c>
      <c r="O16" s="4">
        <v>1</v>
      </c>
      <c r="P16" s="3">
        <v>0</v>
      </c>
      <c r="Q16" s="4">
        <v>1</v>
      </c>
      <c r="R16" s="3">
        <v>0</v>
      </c>
      <c r="S16" s="4">
        <v>1</v>
      </c>
      <c r="T16" s="3">
        <v>0</v>
      </c>
      <c r="U16" s="4">
        <v>1</v>
      </c>
      <c r="V16" s="3">
        <v>0</v>
      </c>
      <c r="W16" s="4">
        <v>1</v>
      </c>
      <c r="X16" s="5"/>
      <c r="Y16" s="5"/>
      <c r="Z16" s="5"/>
      <c r="AA16" s="5"/>
      <c r="AB16" s="3">
        <f t="shared" si="0"/>
        <v>8</v>
      </c>
      <c r="AC16" s="9">
        <f t="shared" si="1"/>
        <v>1</v>
      </c>
    </row>
    <row r="17" spans="2:29" x14ac:dyDescent="0.25">
      <c r="B17" s="3">
        <v>14</v>
      </c>
      <c r="C17" s="7" t="s">
        <v>13</v>
      </c>
      <c r="D17" s="3">
        <v>3</v>
      </c>
      <c r="E17" s="4">
        <v>1</v>
      </c>
      <c r="F17" s="3">
        <v>0</v>
      </c>
      <c r="G17" s="4">
        <v>1</v>
      </c>
      <c r="H17" s="8">
        <v>2</v>
      </c>
      <c r="I17" s="4">
        <v>1</v>
      </c>
      <c r="J17" s="3">
        <v>7</v>
      </c>
      <c r="K17" s="4">
        <v>1</v>
      </c>
      <c r="L17" s="3">
        <v>5</v>
      </c>
      <c r="M17" s="4">
        <v>1</v>
      </c>
      <c r="N17" s="3">
        <v>0</v>
      </c>
      <c r="O17" s="4">
        <v>1</v>
      </c>
      <c r="P17" s="3">
        <v>0</v>
      </c>
      <c r="Q17" s="4">
        <v>1</v>
      </c>
      <c r="R17" s="3">
        <v>0</v>
      </c>
      <c r="S17" s="4">
        <v>1</v>
      </c>
      <c r="T17" s="3">
        <v>0</v>
      </c>
      <c r="U17" s="4">
        <v>1</v>
      </c>
      <c r="V17" s="3">
        <v>0</v>
      </c>
      <c r="W17" s="4">
        <v>1</v>
      </c>
      <c r="X17" s="5"/>
      <c r="Y17" s="5"/>
      <c r="Z17" s="5"/>
      <c r="AA17" s="5"/>
      <c r="AB17" s="3">
        <f t="shared" si="0"/>
        <v>17</v>
      </c>
      <c r="AC17" s="9">
        <f t="shared" si="1"/>
        <v>1</v>
      </c>
    </row>
    <row r="18" spans="2:29" x14ac:dyDescent="0.25">
      <c r="B18" s="3">
        <v>15</v>
      </c>
      <c r="C18" s="7" t="s">
        <v>14</v>
      </c>
      <c r="D18" s="3">
        <v>0</v>
      </c>
      <c r="E18" s="4">
        <v>1</v>
      </c>
      <c r="F18" s="3">
        <v>0</v>
      </c>
      <c r="G18" s="4">
        <v>1</v>
      </c>
      <c r="H18" s="8">
        <v>0</v>
      </c>
      <c r="I18" s="4">
        <v>1</v>
      </c>
      <c r="J18" s="3">
        <v>0</v>
      </c>
      <c r="K18" s="4">
        <v>1</v>
      </c>
      <c r="L18" s="3">
        <v>0</v>
      </c>
      <c r="M18" s="4">
        <v>1</v>
      </c>
      <c r="N18" s="3">
        <v>0</v>
      </c>
      <c r="O18" s="4">
        <v>1</v>
      </c>
      <c r="P18" s="3">
        <v>0</v>
      </c>
      <c r="Q18" s="4">
        <v>1</v>
      </c>
      <c r="R18" s="3">
        <v>0</v>
      </c>
      <c r="S18" s="4">
        <v>1</v>
      </c>
      <c r="T18" s="3">
        <v>0</v>
      </c>
      <c r="U18" s="4">
        <v>1</v>
      </c>
      <c r="V18" s="3">
        <v>0</v>
      </c>
      <c r="W18" s="4">
        <v>1</v>
      </c>
      <c r="X18" s="5"/>
      <c r="Y18" s="5"/>
      <c r="Z18" s="5"/>
      <c r="AA18" s="5"/>
      <c r="AB18" s="3">
        <f t="shared" si="0"/>
        <v>0</v>
      </c>
      <c r="AC18" s="9">
        <f t="shared" si="1"/>
        <v>1</v>
      </c>
    </row>
    <row r="19" spans="2:29" x14ac:dyDescent="0.25">
      <c r="B19" s="3">
        <v>16</v>
      </c>
      <c r="C19" s="7" t="s">
        <v>15</v>
      </c>
      <c r="D19" s="3">
        <v>1</v>
      </c>
      <c r="E19" s="4">
        <v>1</v>
      </c>
      <c r="F19" s="3">
        <v>0</v>
      </c>
      <c r="G19" s="4">
        <v>1</v>
      </c>
      <c r="H19" s="8">
        <v>0</v>
      </c>
      <c r="I19" s="4">
        <v>1</v>
      </c>
      <c r="J19" s="3">
        <v>0</v>
      </c>
      <c r="K19" s="4">
        <v>1</v>
      </c>
      <c r="L19" s="3">
        <v>0</v>
      </c>
      <c r="M19" s="4">
        <v>1</v>
      </c>
      <c r="N19" s="3">
        <v>0</v>
      </c>
      <c r="O19" s="4">
        <v>1</v>
      </c>
      <c r="P19" s="3">
        <v>0</v>
      </c>
      <c r="Q19" s="4">
        <v>1</v>
      </c>
      <c r="R19" s="3">
        <v>0</v>
      </c>
      <c r="S19" s="4">
        <v>1</v>
      </c>
      <c r="T19" s="3">
        <v>0</v>
      </c>
      <c r="U19" s="4">
        <v>1</v>
      </c>
      <c r="V19" s="3">
        <v>0</v>
      </c>
      <c r="W19" s="4">
        <v>1</v>
      </c>
      <c r="X19" s="5"/>
      <c r="Y19" s="5"/>
      <c r="Z19" s="5"/>
      <c r="AA19" s="5"/>
      <c r="AB19" s="3">
        <f t="shared" si="0"/>
        <v>1</v>
      </c>
      <c r="AC19" s="9">
        <f t="shared" si="1"/>
        <v>1</v>
      </c>
    </row>
    <row r="20" spans="2:29" x14ac:dyDescent="0.25">
      <c r="B20" s="3">
        <v>17</v>
      </c>
      <c r="C20" s="7" t="s">
        <v>16</v>
      </c>
      <c r="D20" s="3">
        <v>0</v>
      </c>
      <c r="E20" s="4">
        <v>1</v>
      </c>
      <c r="F20" s="3">
        <v>0</v>
      </c>
      <c r="G20" s="4">
        <v>1</v>
      </c>
      <c r="H20" s="8">
        <v>0</v>
      </c>
      <c r="I20" s="4">
        <v>1</v>
      </c>
      <c r="J20" s="3">
        <v>0</v>
      </c>
      <c r="K20" s="4">
        <v>1</v>
      </c>
      <c r="L20" s="3">
        <v>0</v>
      </c>
      <c r="M20" s="4">
        <v>1</v>
      </c>
      <c r="N20" s="3">
        <v>0</v>
      </c>
      <c r="O20" s="4">
        <v>1</v>
      </c>
      <c r="P20" s="3">
        <v>0</v>
      </c>
      <c r="Q20" s="4">
        <v>1</v>
      </c>
      <c r="R20" s="3">
        <v>0</v>
      </c>
      <c r="S20" s="4">
        <v>1</v>
      </c>
      <c r="T20" s="3">
        <v>0</v>
      </c>
      <c r="U20" s="4">
        <v>1</v>
      </c>
      <c r="V20" s="3">
        <v>0</v>
      </c>
      <c r="W20" s="4">
        <v>1</v>
      </c>
      <c r="X20" s="5"/>
      <c r="Y20" s="5"/>
      <c r="Z20" s="5"/>
      <c r="AA20" s="5"/>
      <c r="AB20" s="3">
        <f t="shared" si="0"/>
        <v>0</v>
      </c>
      <c r="AC20" s="9">
        <f t="shared" si="1"/>
        <v>1</v>
      </c>
    </row>
    <row r="21" spans="2:29" x14ac:dyDescent="0.25">
      <c r="B21" s="3">
        <v>18</v>
      </c>
      <c r="C21" s="7" t="s">
        <v>35</v>
      </c>
      <c r="D21" s="3">
        <v>0</v>
      </c>
      <c r="E21" s="4">
        <v>1</v>
      </c>
      <c r="F21" s="3">
        <v>0</v>
      </c>
      <c r="G21" s="4">
        <v>1</v>
      </c>
      <c r="H21" s="8">
        <v>0</v>
      </c>
      <c r="I21" s="4">
        <v>1</v>
      </c>
      <c r="J21" s="3">
        <v>0</v>
      </c>
      <c r="K21" s="4">
        <v>1</v>
      </c>
      <c r="L21" s="3">
        <v>1</v>
      </c>
      <c r="M21" s="4">
        <v>1</v>
      </c>
      <c r="N21" s="3">
        <v>0</v>
      </c>
      <c r="O21" s="4">
        <v>1</v>
      </c>
      <c r="P21" s="3">
        <v>0</v>
      </c>
      <c r="Q21" s="4">
        <v>1</v>
      </c>
      <c r="R21" s="3">
        <v>0</v>
      </c>
      <c r="S21" s="4">
        <v>1</v>
      </c>
      <c r="T21" s="3">
        <v>0</v>
      </c>
      <c r="U21" s="4">
        <v>1</v>
      </c>
      <c r="V21" s="3">
        <v>0</v>
      </c>
      <c r="W21" s="4">
        <v>1</v>
      </c>
      <c r="X21" s="5"/>
      <c r="Y21" s="5"/>
      <c r="Z21" s="5"/>
      <c r="AA21" s="5"/>
      <c r="AB21" s="3">
        <f t="shared" si="0"/>
        <v>1</v>
      </c>
      <c r="AC21" s="9">
        <f t="shared" si="1"/>
        <v>1</v>
      </c>
    </row>
    <row r="22" spans="2:29" x14ac:dyDescent="0.25">
      <c r="C22" s="2"/>
      <c r="I22" s="10"/>
      <c r="Q22" s="1"/>
      <c r="R22" s="1"/>
      <c r="T22" s="1"/>
      <c r="V22" s="1"/>
    </row>
    <row r="23" spans="2:29" x14ac:dyDescent="0.25">
      <c r="B23" s="27" t="s">
        <v>30</v>
      </c>
      <c r="C23" s="28"/>
      <c r="D23" s="3">
        <f>SUM(D4:D22)</f>
        <v>14</v>
      </c>
      <c r="E23" s="4">
        <v>1</v>
      </c>
      <c r="F23" s="3">
        <f>SUM(F4:F22)</f>
        <v>21</v>
      </c>
      <c r="G23" s="4">
        <v>1</v>
      </c>
      <c r="H23" s="8">
        <f>SUM(H4:H21)</f>
        <v>14</v>
      </c>
      <c r="I23" s="9">
        <f>SUM((I4+I5+I6+I7+I8+I9+I10+I11+I12+I13+I14+I15+I16+I17+I18+I19+I21+I20)/18)</f>
        <v>0.99944444444444458</v>
      </c>
      <c r="J23" s="12">
        <f>SUM(J4:J21)</f>
        <v>15</v>
      </c>
      <c r="K23" s="9">
        <f>SUM((K4+K5+K6+K7+K8+K9+K10+K11+K12+K13+K14+K15+K16+K17+K18+K19+K20+K21)/18)</f>
        <v>1</v>
      </c>
      <c r="L23" s="12">
        <f>SUM(L4:L21)</f>
        <v>24</v>
      </c>
      <c r="M23" s="9">
        <f>SUM((M4+M5+M6+M7+M8+M9+M10+M11+M12+M13+M14+M15+M16+M17+M18+M19+M21+M20)/18)</f>
        <v>0.99888888888888894</v>
      </c>
      <c r="N23" s="17">
        <v>1</v>
      </c>
      <c r="O23" s="9">
        <f t="shared" ref="O23:Q23" si="2">SUM((O4+O5+O6+O7+O8+O9+O10+O11+O12+O13+O14+O15+O16+O17+O18+O19+O21+O20)/18)</f>
        <v>0.99944444444444458</v>
      </c>
      <c r="P23" s="17">
        <f>SUM(P4:P21)</f>
        <v>4</v>
      </c>
      <c r="Q23" s="9">
        <f t="shared" si="2"/>
        <v>0.99888888888888894</v>
      </c>
      <c r="R23" s="3">
        <v>0</v>
      </c>
      <c r="S23" s="4">
        <v>1</v>
      </c>
      <c r="T23" s="3">
        <v>0</v>
      </c>
      <c r="U23" s="4">
        <v>1</v>
      </c>
      <c r="V23" s="3">
        <v>0</v>
      </c>
      <c r="W23" s="4">
        <v>1</v>
      </c>
      <c r="X23" s="5"/>
      <c r="Y23" s="5"/>
      <c r="Z23" s="5"/>
      <c r="AA23" s="5"/>
      <c r="AB23" s="3">
        <f>SUM(AB4:AB22)</f>
        <v>93</v>
      </c>
      <c r="AC23" s="9">
        <f>(AC4+AC5+AC6+AC7+AC8+AC9+AC10+AC11+AC12+AC13+AC14+AC15+AC16+AC17+AC18+AC19+AC21+AC20)/18</f>
        <v>0.9996666666666667</v>
      </c>
    </row>
  </sheetData>
  <mergeCells count="14">
    <mergeCell ref="Z2:AA2"/>
    <mergeCell ref="AB2:AC2"/>
    <mergeCell ref="B23:C23"/>
    <mergeCell ref="N2:O2"/>
    <mergeCell ref="P2:Q2"/>
    <mergeCell ref="R2:S2"/>
    <mergeCell ref="T2:U2"/>
    <mergeCell ref="V2:W2"/>
    <mergeCell ref="X2:Y2"/>
    <mergeCell ref="D2:E2"/>
    <mergeCell ref="F2:G2"/>
    <mergeCell ref="H2:I2"/>
    <mergeCell ref="J2:K2"/>
    <mergeCell ref="L2:M2"/>
  </mergeCells>
  <phoneticPr fontId="5" type="noConversion"/>
  <conditionalFormatting sqref="AB4:AB2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{6E2C15DE-06D1-49D7-ADC2-F23EAB43CE2A}</x14:id>
        </ext>
      </extLst>
    </cfRule>
  </conditionalFormatting>
  <pageMargins left="0.511811024" right="0.511811024" top="0.78740157499999996" bottom="0.78740157499999996" header="0.31496062000000002" footer="0.31496062000000002"/>
  <ignoredErrors>
    <ignoredError sqref="K23 I23 P2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2C15DE-06D1-49D7-ADC2-F23EAB43CE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AB4:AB21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BCA4-5F89-4FCB-A972-46EB9EA785CC}">
  <dimension ref="B2:AC29"/>
  <sheetViews>
    <sheetView showGridLines="0" workbookViewId="0">
      <selection activeCell="C19" sqref="C19"/>
    </sheetView>
  </sheetViews>
  <sheetFormatPr defaultColWidth="16.28515625" defaultRowHeight="15" x14ac:dyDescent="0.25"/>
  <cols>
    <col min="1" max="1" width="6.5703125" customWidth="1"/>
    <col min="2" max="2" width="3" bestFit="1" customWidth="1"/>
    <col min="4" max="4" width="7.85546875" bestFit="1" customWidth="1"/>
    <col min="5" max="5" width="8.42578125" bestFit="1" customWidth="1"/>
    <col min="6" max="6" width="7.85546875" bestFit="1" customWidth="1"/>
    <col min="7" max="7" width="8.42578125" bestFit="1" customWidth="1"/>
    <col min="8" max="8" width="7.85546875" bestFit="1" customWidth="1"/>
    <col min="9" max="9" width="8.42578125" bestFit="1" customWidth="1"/>
    <col min="10" max="10" width="7.85546875" bestFit="1" customWidth="1"/>
    <col min="11" max="11" width="8.42578125" bestFit="1" customWidth="1"/>
    <col min="12" max="12" width="7.85546875" bestFit="1" customWidth="1"/>
    <col min="13" max="13" width="8.42578125" bestFit="1" customWidth="1"/>
    <col min="14" max="14" width="7.85546875" bestFit="1" customWidth="1"/>
    <col min="15" max="15" width="8.42578125" bestFit="1" customWidth="1"/>
    <col min="16" max="16" width="7.85546875" bestFit="1" customWidth="1"/>
    <col min="17" max="17" width="8.42578125" bestFit="1" customWidth="1"/>
    <col min="18" max="18" width="7.85546875" bestFit="1" customWidth="1"/>
    <col min="19" max="19" width="8.42578125" bestFit="1" customWidth="1"/>
    <col min="20" max="20" width="7.85546875" bestFit="1" customWidth="1"/>
    <col min="21" max="21" width="8.42578125" bestFit="1" customWidth="1"/>
    <col min="22" max="22" width="7.85546875" bestFit="1" customWidth="1"/>
    <col min="23" max="23" width="8.42578125" bestFit="1" customWidth="1"/>
    <col min="24" max="24" width="7.85546875" bestFit="1" customWidth="1"/>
    <col min="25" max="25" width="8.42578125" bestFit="1" customWidth="1"/>
    <col min="26" max="26" width="7.85546875" bestFit="1" customWidth="1"/>
    <col min="27" max="27" width="8.42578125" bestFit="1" customWidth="1"/>
    <col min="28" max="28" width="7.85546875" bestFit="1" customWidth="1"/>
    <col min="29" max="29" width="8.42578125" bestFit="1" customWidth="1"/>
  </cols>
  <sheetData>
    <row r="2" spans="2:29" x14ac:dyDescent="0.25">
      <c r="B2" s="1"/>
      <c r="D2" s="29" t="s">
        <v>18</v>
      </c>
      <c r="E2" s="29"/>
      <c r="F2" s="29" t="s">
        <v>29</v>
      </c>
      <c r="G2" s="29"/>
      <c r="H2" s="29" t="s">
        <v>19</v>
      </c>
      <c r="I2" s="29"/>
      <c r="J2" s="29" t="s">
        <v>20</v>
      </c>
      <c r="K2" s="29"/>
      <c r="L2" s="29" t="s">
        <v>21</v>
      </c>
      <c r="M2" s="29"/>
      <c r="N2" s="29" t="s">
        <v>22</v>
      </c>
      <c r="O2" s="29"/>
      <c r="P2" s="29" t="s">
        <v>23</v>
      </c>
      <c r="Q2" s="29"/>
      <c r="R2" s="29" t="s">
        <v>24</v>
      </c>
      <c r="S2" s="29"/>
      <c r="T2" s="29" t="s">
        <v>25</v>
      </c>
      <c r="U2" s="29"/>
      <c r="V2" s="29" t="s">
        <v>26</v>
      </c>
      <c r="W2" s="29"/>
      <c r="X2" s="29" t="s">
        <v>27</v>
      </c>
      <c r="Y2" s="29"/>
      <c r="Z2" s="29" t="s">
        <v>28</v>
      </c>
      <c r="AA2" s="29"/>
      <c r="AB2" s="29" t="s">
        <v>33</v>
      </c>
      <c r="AC2" s="29"/>
    </row>
    <row r="3" spans="2:29" x14ac:dyDescent="0.25">
      <c r="B3" s="14" t="s">
        <v>34</v>
      </c>
      <c r="C3" s="6" t="s">
        <v>17</v>
      </c>
      <c r="D3" s="14" t="s">
        <v>31</v>
      </c>
      <c r="E3" s="14" t="s">
        <v>51</v>
      </c>
      <c r="F3" s="14" t="s">
        <v>31</v>
      </c>
      <c r="G3" s="15" t="s">
        <v>51</v>
      </c>
      <c r="H3" s="14" t="s">
        <v>31</v>
      </c>
      <c r="I3" s="15" t="s">
        <v>51</v>
      </c>
      <c r="J3" s="14" t="s">
        <v>31</v>
      </c>
      <c r="K3" s="15" t="s">
        <v>51</v>
      </c>
      <c r="L3" s="14" t="s">
        <v>31</v>
      </c>
      <c r="M3" s="15" t="s">
        <v>51</v>
      </c>
      <c r="N3" s="14" t="s">
        <v>31</v>
      </c>
      <c r="O3" s="15" t="s">
        <v>51</v>
      </c>
      <c r="P3" s="14" t="s">
        <v>31</v>
      </c>
      <c r="Q3" s="15" t="s">
        <v>51</v>
      </c>
      <c r="R3" s="14" t="s">
        <v>31</v>
      </c>
      <c r="S3" s="15" t="s">
        <v>51</v>
      </c>
      <c r="T3" s="14" t="s">
        <v>31</v>
      </c>
      <c r="U3" s="15" t="s">
        <v>51</v>
      </c>
      <c r="V3" s="14" t="s">
        <v>31</v>
      </c>
      <c r="W3" s="15" t="s">
        <v>51</v>
      </c>
      <c r="X3" s="14" t="s">
        <v>31</v>
      </c>
      <c r="Y3" s="15" t="s">
        <v>51</v>
      </c>
      <c r="Z3" s="14" t="s">
        <v>31</v>
      </c>
      <c r="AA3" s="15" t="s">
        <v>51</v>
      </c>
      <c r="AB3" s="14" t="s">
        <v>31</v>
      </c>
      <c r="AC3" s="15" t="s">
        <v>51</v>
      </c>
    </row>
    <row r="4" spans="2:29" x14ac:dyDescent="0.25">
      <c r="B4" s="3">
        <v>1</v>
      </c>
      <c r="C4" s="7" t="s">
        <v>36</v>
      </c>
      <c r="D4" s="3">
        <v>0</v>
      </c>
      <c r="E4" s="4">
        <v>1</v>
      </c>
      <c r="F4" s="3">
        <v>0</v>
      </c>
      <c r="G4" s="4">
        <v>1</v>
      </c>
      <c r="H4" s="8">
        <v>0</v>
      </c>
      <c r="I4" s="4">
        <v>1</v>
      </c>
      <c r="J4" s="3">
        <v>0</v>
      </c>
      <c r="K4" s="4">
        <v>1</v>
      </c>
      <c r="L4" s="3">
        <v>0</v>
      </c>
      <c r="M4" s="4">
        <v>1</v>
      </c>
      <c r="N4" s="3">
        <v>0</v>
      </c>
      <c r="O4" s="4">
        <v>1</v>
      </c>
      <c r="P4" s="3">
        <v>0</v>
      </c>
      <c r="Q4" s="4">
        <v>1</v>
      </c>
      <c r="R4" s="3">
        <v>0</v>
      </c>
      <c r="S4" s="4">
        <v>1</v>
      </c>
      <c r="T4" s="3">
        <v>0</v>
      </c>
      <c r="U4" s="4">
        <v>1</v>
      </c>
      <c r="V4" s="8">
        <v>0</v>
      </c>
      <c r="W4" s="4">
        <v>1</v>
      </c>
      <c r="X4" s="5"/>
      <c r="Y4" s="5"/>
      <c r="Z4" s="5"/>
      <c r="AA4" s="5"/>
      <c r="AB4" s="3">
        <f>D4+F4+H4+J4+L4+N4+P4+R4+T4+V4+X4+Z4</f>
        <v>0</v>
      </c>
      <c r="AC4" s="9">
        <f>(E4+G4+I4+K4+M4+O4+Q4+S4)/8</f>
        <v>1</v>
      </c>
    </row>
    <row r="5" spans="2:29" x14ac:dyDescent="0.25">
      <c r="B5" s="3">
        <v>2</v>
      </c>
      <c r="C5" s="7" t="s">
        <v>45</v>
      </c>
      <c r="D5" s="3">
        <v>0</v>
      </c>
      <c r="E5" s="4">
        <v>1</v>
      </c>
      <c r="F5" s="3">
        <v>0</v>
      </c>
      <c r="G5" s="4">
        <v>1</v>
      </c>
      <c r="H5" s="8">
        <v>0</v>
      </c>
      <c r="I5" s="4">
        <v>1</v>
      </c>
      <c r="J5" s="3">
        <v>0</v>
      </c>
      <c r="K5" s="4">
        <v>1</v>
      </c>
      <c r="L5" s="3">
        <v>0</v>
      </c>
      <c r="M5" s="16">
        <v>1</v>
      </c>
      <c r="N5" s="22">
        <v>0</v>
      </c>
      <c r="O5" s="16">
        <v>1</v>
      </c>
      <c r="P5" s="3">
        <v>0</v>
      </c>
      <c r="Q5" s="4">
        <v>1</v>
      </c>
      <c r="R5" s="3">
        <v>0</v>
      </c>
      <c r="S5" s="4">
        <v>1</v>
      </c>
      <c r="T5" s="3">
        <v>0</v>
      </c>
      <c r="U5" s="4">
        <v>1</v>
      </c>
      <c r="V5" s="8">
        <v>0</v>
      </c>
      <c r="W5" s="4">
        <v>1</v>
      </c>
      <c r="X5" s="5"/>
      <c r="Y5" s="5"/>
      <c r="Z5" s="5"/>
      <c r="AA5" s="5"/>
      <c r="AB5" s="3">
        <f t="shared" ref="AB5:AB19" si="0">D5+F5+H5+J5+L5+N5+P5+R5+T5+V5+X5+Z5</f>
        <v>0</v>
      </c>
      <c r="AC5" s="9">
        <f t="shared" ref="AC5:AC19" si="1">(E5+G5+I5+K5+M5+O5+Q5+S5)/8</f>
        <v>1</v>
      </c>
    </row>
    <row r="6" spans="2:29" x14ac:dyDescent="0.25">
      <c r="B6" s="3">
        <v>3</v>
      </c>
      <c r="C6" s="7" t="s">
        <v>37</v>
      </c>
      <c r="D6" s="3">
        <v>0</v>
      </c>
      <c r="E6" s="4">
        <v>1</v>
      </c>
      <c r="F6" s="3">
        <v>0</v>
      </c>
      <c r="G6" s="4">
        <v>1</v>
      </c>
      <c r="H6" s="8">
        <v>1</v>
      </c>
      <c r="I6" s="11">
        <v>0.99</v>
      </c>
      <c r="J6" s="3">
        <v>0</v>
      </c>
      <c r="K6" s="4">
        <v>1</v>
      </c>
      <c r="L6" s="3">
        <v>1</v>
      </c>
      <c r="M6" s="11">
        <v>0.99</v>
      </c>
      <c r="N6" s="3">
        <v>0</v>
      </c>
      <c r="O6" s="4">
        <v>1</v>
      </c>
      <c r="P6" s="3">
        <v>0</v>
      </c>
      <c r="Q6" s="4">
        <v>1</v>
      </c>
      <c r="R6" s="3">
        <v>0</v>
      </c>
      <c r="S6" s="4">
        <v>1</v>
      </c>
      <c r="T6" s="3">
        <v>1</v>
      </c>
      <c r="U6" s="11">
        <v>0.99</v>
      </c>
      <c r="V6" s="8">
        <v>1</v>
      </c>
      <c r="W6" s="11">
        <v>0.99</v>
      </c>
      <c r="X6" s="5"/>
      <c r="Y6" s="5"/>
      <c r="Z6" s="5"/>
      <c r="AA6" s="5"/>
      <c r="AB6" s="3">
        <f t="shared" si="0"/>
        <v>4</v>
      </c>
      <c r="AC6" s="24">
        <f t="shared" si="1"/>
        <v>0.99750000000000005</v>
      </c>
    </row>
    <row r="7" spans="2:29" x14ac:dyDescent="0.25">
      <c r="B7" s="3">
        <v>4</v>
      </c>
      <c r="C7" s="7" t="s">
        <v>38</v>
      </c>
      <c r="D7" s="3">
        <v>0</v>
      </c>
      <c r="E7" s="4">
        <v>1</v>
      </c>
      <c r="F7" s="3">
        <v>0</v>
      </c>
      <c r="G7" s="4">
        <v>1</v>
      </c>
      <c r="H7" s="8">
        <v>0</v>
      </c>
      <c r="I7" s="4">
        <v>1</v>
      </c>
      <c r="J7" s="3">
        <v>0</v>
      </c>
      <c r="K7" s="4">
        <v>1</v>
      </c>
      <c r="L7" s="3">
        <v>0</v>
      </c>
      <c r="M7" s="4">
        <v>1</v>
      </c>
      <c r="N7" s="3">
        <v>0</v>
      </c>
      <c r="O7" s="4">
        <v>1</v>
      </c>
      <c r="P7" s="3">
        <v>0</v>
      </c>
      <c r="Q7" s="4">
        <v>1</v>
      </c>
      <c r="R7" s="3">
        <v>0</v>
      </c>
      <c r="S7" s="4">
        <v>1</v>
      </c>
      <c r="T7" s="3">
        <v>0</v>
      </c>
      <c r="U7" s="4">
        <v>1</v>
      </c>
      <c r="V7" s="8">
        <v>0</v>
      </c>
      <c r="W7" s="4">
        <v>1</v>
      </c>
      <c r="X7" s="5"/>
      <c r="Y7" s="5"/>
      <c r="Z7" s="5"/>
      <c r="AA7" s="5"/>
      <c r="AB7" s="3">
        <f t="shared" si="0"/>
        <v>0</v>
      </c>
      <c r="AC7" s="9">
        <f t="shared" si="1"/>
        <v>1</v>
      </c>
    </row>
    <row r="8" spans="2:29" x14ac:dyDescent="0.25">
      <c r="B8" s="3">
        <v>5</v>
      </c>
      <c r="C8" s="7" t="s">
        <v>39</v>
      </c>
      <c r="D8" s="3">
        <v>0</v>
      </c>
      <c r="E8" s="4">
        <v>1</v>
      </c>
      <c r="F8" s="3">
        <v>0</v>
      </c>
      <c r="G8" s="4">
        <v>1</v>
      </c>
      <c r="H8" s="8">
        <v>0</v>
      </c>
      <c r="I8" s="4">
        <v>1</v>
      </c>
      <c r="J8" s="3">
        <v>0</v>
      </c>
      <c r="K8" s="4">
        <v>1</v>
      </c>
      <c r="L8" s="3">
        <v>0</v>
      </c>
      <c r="M8" s="4">
        <v>1</v>
      </c>
      <c r="N8" s="3">
        <v>0</v>
      </c>
      <c r="O8" s="4">
        <v>1</v>
      </c>
      <c r="P8" s="3">
        <v>0</v>
      </c>
      <c r="Q8" s="4">
        <v>1</v>
      </c>
      <c r="R8" s="3">
        <v>0</v>
      </c>
      <c r="S8" s="4">
        <v>1</v>
      </c>
      <c r="T8" s="3">
        <v>0</v>
      </c>
      <c r="U8" s="4">
        <v>1</v>
      </c>
      <c r="V8" s="8">
        <v>1</v>
      </c>
      <c r="W8" s="11">
        <v>0.99</v>
      </c>
      <c r="X8" s="5"/>
      <c r="Y8" s="5"/>
      <c r="Z8" s="5"/>
      <c r="AA8" s="5"/>
      <c r="AB8" s="3">
        <f t="shared" si="0"/>
        <v>1</v>
      </c>
      <c r="AC8" s="9">
        <f t="shared" si="1"/>
        <v>1</v>
      </c>
    </row>
    <row r="9" spans="2:29" x14ac:dyDescent="0.25">
      <c r="B9" s="3">
        <v>6</v>
      </c>
      <c r="C9" s="7" t="s">
        <v>40</v>
      </c>
      <c r="D9" s="3">
        <v>0</v>
      </c>
      <c r="E9" s="4">
        <v>1</v>
      </c>
      <c r="F9" s="3">
        <v>0</v>
      </c>
      <c r="G9" s="4">
        <v>1</v>
      </c>
      <c r="H9" s="8">
        <v>0</v>
      </c>
      <c r="I9" s="4">
        <v>1</v>
      </c>
      <c r="J9" s="3">
        <v>0</v>
      </c>
      <c r="K9" s="4">
        <v>1</v>
      </c>
      <c r="L9" s="3">
        <v>0</v>
      </c>
      <c r="M9" s="4">
        <v>1</v>
      </c>
      <c r="N9" s="3">
        <v>0</v>
      </c>
      <c r="O9" s="4">
        <v>1</v>
      </c>
      <c r="P9" s="3">
        <v>0</v>
      </c>
      <c r="Q9" s="4">
        <v>1</v>
      </c>
      <c r="R9" s="3">
        <v>0</v>
      </c>
      <c r="S9" s="4">
        <v>1</v>
      </c>
      <c r="T9" s="3">
        <v>0</v>
      </c>
      <c r="U9" s="4">
        <v>1</v>
      </c>
      <c r="V9" s="8">
        <v>0</v>
      </c>
      <c r="W9" s="4">
        <v>1</v>
      </c>
      <c r="X9" s="5"/>
      <c r="Y9" s="5"/>
      <c r="Z9" s="5"/>
      <c r="AA9" s="5"/>
      <c r="AB9" s="3">
        <f t="shared" si="0"/>
        <v>0</v>
      </c>
      <c r="AC9" s="9">
        <f t="shared" si="1"/>
        <v>1</v>
      </c>
    </row>
    <row r="10" spans="2:29" x14ac:dyDescent="0.25">
      <c r="B10" s="3">
        <v>7</v>
      </c>
      <c r="C10" s="7" t="s">
        <v>46</v>
      </c>
      <c r="D10" s="3">
        <v>0</v>
      </c>
      <c r="E10" s="4">
        <v>1</v>
      </c>
      <c r="F10" s="3">
        <v>0</v>
      </c>
      <c r="G10" s="4">
        <v>1</v>
      </c>
      <c r="H10" s="8">
        <v>0</v>
      </c>
      <c r="I10" s="4">
        <v>1</v>
      </c>
      <c r="J10" s="3">
        <v>0</v>
      </c>
      <c r="K10" s="4">
        <v>1</v>
      </c>
      <c r="L10" s="3">
        <v>0</v>
      </c>
      <c r="M10" s="4">
        <v>1</v>
      </c>
      <c r="N10" s="3">
        <v>0</v>
      </c>
      <c r="O10" s="4">
        <v>1</v>
      </c>
      <c r="P10" s="3">
        <v>0</v>
      </c>
      <c r="Q10" s="4">
        <v>1</v>
      </c>
      <c r="R10" s="3">
        <v>0</v>
      </c>
      <c r="S10" s="4">
        <v>1</v>
      </c>
      <c r="T10" s="3">
        <v>0</v>
      </c>
      <c r="U10" s="4">
        <v>1</v>
      </c>
      <c r="V10" s="8">
        <v>0</v>
      </c>
      <c r="W10" s="4">
        <v>1</v>
      </c>
      <c r="X10" s="5"/>
      <c r="Y10" s="5"/>
      <c r="Z10" s="5"/>
      <c r="AA10" s="5"/>
      <c r="AB10" s="3">
        <f t="shared" si="0"/>
        <v>0</v>
      </c>
      <c r="AC10" s="9">
        <f t="shared" si="1"/>
        <v>1</v>
      </c>
    </row>
    <row r="11" spans="2:29" x14ac:dyDescent="0.25">
      <c r="B11" s="3">
        <v>8</v>
      </c>
      <c r="C11" s="7" t="s">
        <v>41</v>
      </c>
      <c r="D11" s="3">
        <v>0</v>
      </c>
      <c r="E11" s="4">
        <v>1</v>
      </c>
      <c r="F11" s="3">
        <v>0</v>
      </c>
      <c r="G11" s="4">
        <v>1</v>
      </c>
      <c r="H11" s="8">
        <v>0</v>
      </c>
      <c r="I11" s="4">
        <v>1</v>
      </c>
      <c r="J11" s="3">
        <v>0</v>
      </c>
      <c r="K11" s="4">
        <v>1</v>
      </c>
      <c r="L11" s="3">
        <v>0</v>
      </c>
      <c r="M11" s="4">
        <v>1</v>
      </c>
      <c r="N11" s="3">
        <v>0</v>
      </c>
      <c r="O11" s="4">
        <v>1</v>
      </c>
      <c r="P11" s="3">
        <v>0</v>
      </c>
      <c r="Q11" s="4">
        <v>1</v>
      </c>
      <c r="R11" s="3">
        <v>0</v>
      </c>
      <c r="S11" s="4">
        <v>1</v>
      </c>
      <c r="T11" s="3">
        <v>0</v>
      </c>
      <c r="U11" s="4">
        <v>1</v>
      </c>
      <c r="V11" s="8">
        <v>0</v>
      </c>
      <c r="W11" s="4">
        <v>1</v>
      </c>
      <c r="X11" s="5"/>
      <c r="Y11" s="5"/>
      <c r="Z11" s="5"/>
      <c r="AA11" s="5"/>
      <c r="AB11" s="3">
        <f t="shared" si="0"/>
        <v>0</v>
      </c>
      <c r="AC11" s="9">
        <f t="shared" si="1"/>
        <v>1</v>
      </c>
    </row>
    <row r="12" spans="2:29" x14ac:dyDescent="0.25">
      <c r="B12" s="3">
        <v>9</v>
      </c>
      <c r="C12" s="7" t="s">
        <v>42</v>
      </c>
      <c r="D12" s="3">
        <v>0</v>
      </c>
      <c r="E12" s="4">
        <v>1</v>
      </c>
      <c r="F12" s="3">
        <v>0</v>
      </c>
      <c r="G12" s="4">
        <v>1</v>
      </c>
      <c r="H12" s="8">
        <v>1</v>
      </c>
      <c r="I12" s="13">
        <v>0.99</v>
      </c>
      <c r="J12" s="3">
        <v>0</v>
      </c>
      <c r="K12" s="4">
        <v>1</v>
      </c>
      <c r="L12" s="3">
        <v>0</v>
      </c>
      <c r="M12" s="16">
        <v>1</v>
      </c>
      <c r="N12" s="3">
        <v>0</v>
      </c>
      <c r="O12" s="16">
        <v>1</v>
      </c>
      <c r="P12" s="3">
        <v>1</v>
      </c>
      <c r="Q12" s="11">
        <v>0.99</v>
      </c>
      <c r="R12" s="3">
        <v>0</v>
      </c>
      <c r="S12" s="4">
        <v>1</v>
      </c>
      <c r="T12" s="3">
        <v>0</v>
      </c>
      <c r="U12" s="4">
        <v>1</v>
      </c>
      <c r="V12" s="8">
        <v>0</v>
      </c>
      <c r="W12" s="4">
        <v>1</v>
      </c>
      <c r="X12" s="5"/>
      <c r="Y12" s="5"/>
      <c r="Z12" s="5"/>
      <c r="AA12" s="5"/>
      <c r="AB12" s="3">
        <f t="shared" si="0"/>
        <v>2</v>
      </c>
      <c r="AC12" s="24">
        <f t="shared" si="1"/>
        <v>0.99750000000000005</v>
      </c>
    </row>
    <row r="13" spans="2:29" x14ac:dyDescent="0.25">
      <c r="B13" s="3">
        <v>10</v>
      </c>
      <c r="C13" s="7" t="s">
        <v>43</v>
      </c>
      <c r="D13" s="3">
        <v>0</v>
      </c>
      <c r="E13" s="4">
        <v>1</v>
      </c>
      <c r="F13" s="3">
        <v>0</v>
      </c>
      <c r="G13" s="4">
        <v>1</v>
      </c>
      <c r="H13" s="8">
        <v>0</v>
      </c>
      <c r="I13" s="4">
        <v>1</v>
      </c>
      <c r="J13" s="3">
        <v>0</v>
      </c>
      <c r="K13" s="4">
        <v>1</v>
      </c>
      <c r="L13" s="3">
        <v>0</v>
      </c>
      <c r="M13" s="4">
        <v>1</v>
      </c>
      <c r="N13" s="3">
        <v>0</v>
      </c>
      <c r="O13" s="4">
        <v>1</v>
      </c>
      <c r="P13" s="3">
        <v>0</v>
      </c>
      <c r="Q13" s="4">
        <v>1</v>
      </c>
      <c r="R13" s="3">
        <v>0</v>
      </c>
      <c r="S13" s="4">
        <v>1</v>
      </c>
      <c r="T13" s="3">
        <v>0</v>
      </c>
      <c r="U13" s="4">
        <v>1</v>
      </c>
      <c r="V13" s="8">
        <v>0</v>
      </c>
      <c r="W13" s="4">
        <v>1</v>
      </c>
      <c r="X13" s="5"/>
      <c r="Y13" s="5"/>
      <c r="Z13" s="5"/>
      <c r="AA13" s="5"/>
      <c r="AB13" s="3">
        <f t="shared" si="0"/>
        <v>0</v>
      </c>
      <c r="AC13" s="9">
        <f t="shared" si="1"/>
        <v>1</v>
      </c>
    </row>
    <row r="14" spans="2:29" x14ac:dyDescent="0.25">
      <c r="B14" s="3">
        <v>11</v>
      </c>
      <c r="C14" s="7" t="s">
        <v>47</v>
      </c>
      <c r="D14" s="3">
        <v>0</v>
      </c>
      <c r="E14" s="4">
        <v>1</v>
      </c>
      <c r="F14" s="3">
        <v>0</v>
      </c>
      <c r="G14" s="4">
        <v>1</v>
      </c>
      <c r="H14" s="8">
        <v>0</v>
      </c>
      <c r="I14" s="4">
        <v>1</v>
      </c>
      <c r="J14" s="3">
        <v>1</v>
      </c>
      <c r="K14" s="11">
        <v>0.99</v>
      </c>
      <c r="L14" s="3">
        <v>1</v>
      </c>
      <c r="M14" s="11">
        <v>0.99</v>
      </c>
      <c r="N14" s="3">
        <v>1</v>
      </c>
      <c r="O14" s="11">
        <v>0.99</v>
      </c>
      <c r="P14" s="3">
        <v>0</v>
      </c>
      <c r="Q14" s="4">
        <v>1</v>
      </c>
      <c r="R14" s="3">
        <v>0</v>
      </c>
      <c r="S14" s="4">
        <v>1</v>
      </c>
      <c r="T14" s="3">
        <v>0</v>
      </c>
      <c r="U14" s="4">
        <v>1</v>
      </c>
      <c r="V14" s="8">
        <v>0</v>
      </c>
      <c r="W14" s="4">
        <v>1</v>
      </c>
      <c r="X14" s="5"/>
      <c r="Y14" s="5"/>
      <c r="Z14" s="5"/>
      <c r="AA14" s="5"/>
      <c r="AB14" s="3">
        <f t="shared" si="0"/>
        <v>3</v>
      </c>
      <c r="AC14" s="24">
        <f t="shared" si="1"/>
        <v>0.99625000000000008</v>
      </c>
    </row>
    <row r="15" spans="2:29" x14ac:dyDescent="0.25">
      <c r="B15" s="3">
        <v>12</v>
      </c>
      <c r="C15" s="18" t="s">
        <v>44</v>
      </c>
      <c r="D15" s="3">
        <v>0</v>
      </c>
      <c r="E15" s="4">
        <v>1</v>
      </c>
      <c r="F15" s="3">
        <v>0</v>
      </c>
      <c r="G15" s="4">
        <v>1</v>
      </c>
      <c r="H15" s="8">
        <v>0</v>
      </c>
      <c r="I15" s="4">
        <v>1</v>
      </c>
      <c r="J15" s="3">
        <v>0</v>
      </c>
      <c r="K15" s="4">
        <v>1</v>
      </c>
      <c r="L15" s="3">
        <v>1</v>
      </c>
      <c r="M15" s="11">
        <v>0.99</v>
      </c>
      <c r="N15" s="3">
        <v>1</v>
      </c>
      <c r="O15" s="11">
        <v>0.99</v>
      </c>
      <c r="P15" s="3">
        <v>1</v>
      </c>
      <c r="Q15" s="11">
        <v>0.99</v>
      </c>
      <c r="R15" s="3">
        <v>0</v>
      </c>
      <c r="S15" s="4">
        <v>1</v>
      </c>
      <c r="T15" s="3">
        <v>0</v>
      </c>
      <c r="U15" s="4">
        <v>1</v>
      </c>
      <c r="V15" s="8">
        <v>0</v>
      </c>
      <c r="W15" s="4">
        <v>1</v>
      </c>
      <c r="X15" s="5"/>
      <c r="Y15" s="5"/>
      <c r="Z15" s="5"/>
      <c r="AA15" s="5"/>
      <c r="AB15" s="3">
        <f t="shared" si="0"/>
        <v>3</v>
      </c>
      <c r="AC15" s="24">
        <f t="shared" si="1"/>
        <v>0.99625000000000008</v>
      </c>
    </row>
    <row r="16" spans="2:29" x14ac:dyDescent="0.25">
      <c r="B16" s="3">
        <v>13</v>
      </c>
      <c r="C16" s="7" t="s">
        <v>49</v>
      </c>
      <c r="D16" s="3">
        <v>0</v>
      </c>
      <c r="E16" s="4">
        <v>1</v>
      </c>
      <c r="F16" s="3">
        <v>0</v>
      </c>
      <c r="G16" s="4">
        <v>1</v>
      </c>
      <c r="H16" s="8">
        <v>1</v>
      </c>
      <c r="I16" s="11">
        <v>0.99</v>
      </c>
      <c r="J16" s="3">
        <v>0</v>
      </c>
      <c r="K16" s="4">
        <v>1</v>
      </c>
      <c r="L16" s="3">
        <v>0</v>
      </c>
      <c r="M16" s="4">
        <v>1</v>
      </c>
      <c r="N16" s="3">
        <v>0</v>
      </c>
      <c r="O16" s="4">
        <v>1</v>
      </c>
      <c r="P16" s="3">
        <v>0</v>
      </c>
      <c r="Q16" s="4">
        <v>1</v>
      </c>
      <c r="R16" s="3">
        <v>0</v>
      </c>
      <c r="S16" s="4">
        <v>1</v>
      </c>
      <c r="T16" s="3">
        <v>0</v>
      </c>
      <c r="U16" s="4">
        <v>1</v>
      </c>
      <c r="V16" s="8">
        <v>0</v>
      </c>
      <c r="W16" s="4">
        <v>1</v>
      </c>
      <c r="X16" s="5"/>
      <c r="Y16" s="5"/>
      <c r="Z16" s="5"/>
      <c r="AA16" s="5"/>
      <c r="AB16" s="3">
        <f t="shared" si="0"/>
        <v>1</v>
      </c>
      <c r="AC16" s="24">
        <f t="shared" si="1"/>
        <v>0.99875000000000003</v>
      </c>
    </row>
    <row r="17" spans="2:29" x14ac:dyDescent="0.25">
      <c r="B17" s="3">
        <v>14</v>
      </c>
      <c r="C17" s="7" t="s">
        <v>50</v>
      </c>
      <c r="D17" s="3">
        <v>0</v>
      </c>
      <c r="E17" s="4">
        <v>1</v>
      </c>
      <c r="F17" s="3">
        <v>0</v>
      </c>
      <c r="G17" s="4">
        <v>1</v>
      </c>
      <c r="H17" s="8">
        <v>0</v>
      </c>
      <c r="I17" s="4">
        <v>1</v>
      </c>
      <c r="J17" s="3">
        <v>0</v>
      </c>
      <c r="K17" s="4">
        <v>1</v>
      </c>
      <c r="L17" s="3">
        <v>0</v>
      </c>
      <c r="M17" s="4">
        <v>1</v>
      </c>
      <c r="N17" s="3">
        <v>0</v>
      </c>
      <c r="O17" s="4">
        <v>1</v>
      </c>
      <c r="P17" s="3">
        <v>0</v>
      </c>
      <c r="Q17" s="4">
        <v>1</v>
      </c>
      <c r="R17" s="3">
        <v>0</v>
      </c>
      <c r="S17" s="4">
        <v>1</v>
      </c>
      <c r="T17" s="3">
        <v>0</v>
      </c>
      <c r="U17" s="4">
        <v>1</v>
      </c>
      <c r="V17" s="8">
        <v>0</v>
      </c>
      <c r="W17" s="4">
        <v>1</v>
      </c>
      <c r="X17" s="5"/>
      <c r="Y17" s="5"/>
      <c r="Z17" s="5"/>
      <c r="AA17" s="5"/>
      <c r="AB17" s="3">
        <f t="shared" si="0"/>
        <v>0</v>
      </c>
      <c r="AC17" s="9">
        <f t="shared" si="1"/>
        <v>1</v>
      </c>
    </row>
    <row r="18" spans="2:29" x14ac:dyDescent="0.25">
      <c r="B18" s="3">
        <v>15</v>
      </c>
      <c r="C18" s="7" t="s">
        <v>48</v>
      </c>
      <c r="D18" s="3">
        <v>0</v>
      </c>
      <c r="E18" s="4">
        <v>1</v>
      </c>
      <c r="F18" s="3">
        <v>0</v>
      </c>
      <c r="G18" s="4">
        <v>1</v>
      </c>
      <c r="H18" s="8">
        <v>0</v>
      </c>
      <c r="I18" s="4">
        <v>1</v>
      </c>
      <c r="J18" s="3">
        <v>0</v>
      </c>
      <c r="K18" s="4">
        <v>1</v>
      </c>
      <c r="L18" s="3">
        <v>0</v>
      </c>
      <c r="M18" s="4">
        <v>1</v>
      </c>
      <c r="N18" s="3">
        <v>1</v>
      </c>
      <c r="O18" s="11">
        <v>0.99</v>
      </c>
      <c r="P18" s="3">
        <v>1</v>
      </c>
      <c r="Q18" s="11">
        <v>0.99</v>
      </c>
      <c r="R18" s="3">
        <v>0</v>
      </c>
      <c r="S18" s="4">
        <v>1</v>
      </c>
      <c r="T18" s="3">
        <v>0</v>
      </c>
      <c r="U18" s="4">
        <v>1</v>
      </c>
      <c r="V18" s="8">
        <v>1</v>
      </c>
      <c r="W18" s="11">
        <v>0.99</v>
      </c>
      <c r="X18" s="5"/>
      <c r="Y18" s="5"/>
      <c r="Z18" s="5"/>
      <c r="AA18" s="5"/>
      <c r="AB18" s="3">
        <f>D18+F18+H18+J18+L18+N18+P18+R18+T18+V18+X18+Z18</f>
        <v>3</v>
      </c>
      <c r="AC18" s="24">
        <f>(E18+G18+I18+K18+M18+O18+Q18+S18)/8</f>
        <v>0.99750000000000005</v>
      </c>
    </row>
    <row r="19" spans="2:29" x14ac:dyDescent="0.25">
      <c r="B19" s="32">
        <v>16</v>
      </c>
      <c r="C19" s="18" t="s">
        <v>53</v>
      </c>
    </row>
    <row r="20" spans="2:29" x14ac:dyDescent="0.25">
      <c r="B20" s="1"/>
      <c r="C20" s="2"/>
      <c r="D20" s="1"/>
      <c r="E20" s="1"/>
      <c r="F20" s="1"/>
      <c r="G20" s="1"/>
      <c r="H20" s="1"/>
      <c r="I20" s="10"/>
      <c r="J20" s="1"/>
      <c r="K20" s="1"/>
      <c r="L20" s="1"/>
      <c r="M20" s="1"/>
      <c r="N20" s="1"/>
      <c r="O20" s="1"/>
      <c r="P20" s="1"/>
      <c r="Q20" s="10"/>
      <c r="R20" s="1"/>
      <c r="S20" s="1"/>
      <c r="T20" s="1"/>
      <c r="V20" s="31"/>
      <c r="W20" s="10"/>
      <c r="AC20" s="1"/>
    </row>
    <row r="21" spans="2:29" x14ac:dyDescent="0.25">
      <c r="B21" s="30" t="s">
        <v>30</v>
      </c>
      <c r="C21" s="30"/>
      <c r="D21" s="19">
        <f>SUM(D4:D20)</f>
        <v>0</v>
      </c>
      <c r="E21" s="9">
        <f>SUM((E4+E16+E5+E6+E7+E8+E9+E10+E11+E12+E13+E14+E15+E17+E18)/15)</f>
        <v>1</v>
      </c>
      <c r="F21" s="17">
        <f>SUM(F4:F18)</f>
        <v>0</v>
      </c>
      <c r="G21" s="9">
        <f>SUM((G4+G16+G5+G6+G7+G8+G9+G10+G11+G12+G13+G14+G15+G17+G18)/15)</f>
        <v>1</v>
      </c>
      <c r="H21" s="17">
        <f>SUM(H4:H18)</f>
        <v>3</v>
      </c>
      <c r="I21" s="9">
        <f>SUM((I4+I16+I5+I6+I7+I8+I9+I10+I11+I12+I13+I14+I15+I17+I18)/15)</f>
        <v>0.998</v>
      </c>
      <c r="J21" s="17">
        <f>SUM(J4:J18)</f>
        <v>1</v>
      </c>
      <c r="K21" s="9">
        <f>SUM((K4+K16+K5+K6+K7+K8+K9+K10+K11+K12+K13+K14+K15+K17+K18)/15)</f>
        <v>0.9993333333333333</v>
      </c>
      <c r="L21" s="17">
        <f>SUM(L4:L18)</f>
        <v>3</v>
      </c>
      <c r="M21" s="9">
        <f>SUM((M4+M16+M5+M6+M7+M8+M9+M10+M11+M12+M13+M14+M15+M17+M18)/15)</f>
        <v>0.998</v>
      </c>
      <c r="N21" s="17">
        <f>SUM(N4:N18)</f>
        <v>3</v>
      </c>
      <c r="O21" s="9">
        <f>SUM((O4+O16+O5+O6+O7+O8+O9+O10+O11+O12+O13+O14+O15+O17+O18)/15)</f>
        <v>0.998</v>
      </c>
      <c r="P21" s="17">
        <f>SUM(P4:P18)</f>
        <v>3</v>
      </c>
      <c r="Q21" s="9">
        <f>SUM((Q4+Q16+Q5+Q6+Q7+Q8+Q9+Q10+Q11+Q12+Q13+Q14+Q15+Q17+Q18)/15)</f>
        <v>0.998</v>
      </c>
      <c r="R21" s="3">
        <v>0</v>
      </c>
      <c r="S21" s="4">
        <v>1</v>
      </c>
      <c r="T21" s="3">
        <f>SUM(T4:T18)</f>
        <v>1</v>
      </c>
      <c r="U21" s="9">
        <f>(U4+U5+U6+U7+U8+U9+U10+U11+U12+U13+U14+U15+U16+U17+U18)/15</f>
        <v>0.9993333333333333</v>
      </c>
      <c r="V21" s="8">
        <f>SUM(V4:V18)</f>
        <v>3</v>
      </c>
      <c r="W21" s="9">
        <f>(W4+W5+W6+W7+W8+W9+W10+W11+W12+W13+W14+W15+W16+W17+W18)/15</f>
        <v>0.998</v>
      </c>
      <c r="X21" s="5"/>
      <c r="Y21" s="5"/>
      <c r="Z21" s="5"/>
      <c r="AA21" s="5"/>
      <c r="AB21" s="3">
        <f>SUM(AB4:AB18)</f>
        <v>17</v>
      </c>
      <c r="AC21" s="9">
        <f>(AC4+AC5+AC6+AC7+AC8+AC9+AC10+AC11+AC12+AC13+AC14+AC15+AC17)/15</f>
        <v>0.86583333333333334</v>
      </c>
    </row>
    <row r="22" spans="2:29" x14ac:dyDescent="0.25">
      <c r="J22" s="20"/>
    </row>
    <row r="28" spans="2:29" x14ac:dyDescent="0.25">
      <c r="W28" s="23" t="s">
        <v>52</v>
      </c>
    </row>
    <row r="29" spans="2:29" x14ac:dyDescent="0.25">
      <c r="Y29" s="20"/>
    </row>
  </sheetData>
  <mergeCells count="14">
    <mergeCell ref="AB2:AC2"/>
    <mergeCell ref="B21:C21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N2:O2"/>
  </mergeCells>
  <conditionalFormatting sqref="AB4:AB1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{284657C7-8F64-4C63-904D-1C9D0B2E6E36}</x14:id>
        </ext>
      </extLst>
    </cfRule>
  </conditionalFormatting>
  <pageMargins left="0.511811024" right="0.511811024" top="0.78740157499999996" bottom="0.78740157499999996" header="0.31496062000000002" footer="0.31496062000000002"/>
  <ignoredErrors>
    <ignoredError sqref="F21 H21 J21 L21 N2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4657C7-8F64-4C63-904D-1C9D0B2E6E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AB4:AB18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2025-03-25T10:44:53Z</dcterms:created>
  <dcterms:modified xsi:type="dcterms:W3CDTF">2025-11-03T12:02:00Z</dcterms:modified>
</cp:coreProperties>
</file>