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A7D221D2-7AB5-4C5F-96B9-6478C87B7693}" xr6:coauthVersionLast="47" xr6:coauthVersionMax="47" xr10:uidLastSave="{00000000-0000-0000-0000-000000000000}"/>
  <bookViews>
    <workbookView xWindow="-28920" yWindow="-120" windowWidth="29040" windowHeight="15720" tabRatio="273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ITI!$A$1:$K$20</definedName>
    <definedName name="_xlnm._FilterDatabase" localSheetId="1" hidden="1">SPN!$A$1:$J$1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2" l="1"/>
  <c r="L24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" i="2"/>
</calcChain>
</file>

<file path=xl/sharedStrings.xml><?xml version="1.0" encoding="utf-8"?>
<sst xmlns="http://schemas.openxmlformats.org/spreadsheetml/2006/main" count="123" uniqueCount="29">
  <si>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</si>
  <si>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</si>
  <si>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</si>
  <si>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</si>
  <si>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</si>
  <si>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</si>
  <si>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</si>
  <si>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</si>
  <si>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</si>
  <si>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</si>
  <si>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</si>
  <si>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</si>
  <si>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Pendente</t>
  </si>
  <si>
    <t>Emerson Simette</t>
  </si>
  <si>
    <t>Edson Junior</t>
  </si>
  <si>
    <t>SPN</t>
  </si>
  <si>
    <t>Willian Rios</t>
  </si>
  <si>
    <t>Lourival Silva</t>
  </si>
  <si>
    <t>Luan Pierry</t>
  </si>
  <si>
    <t>Guilherme Worel</t>
  </si>
  <si>
    <t>Erick Silva</t>
  </si>
  <si>
    <t>Maria Oliveira</t>
  </si>
  <si>
    <t>Emerson Pellis</t>
  </si>
  <si>
    <t>Alana Oliveira</t>
  </si>
  <si>
    <t>Sostenes Silva</t>
  </si>
  <si>
    <t>Patrick Doyle</t>
  </si>
  <si>
    <t>Daniela Klug</t>
  </si>
  <si>
    <t>Resolvido</t>
  </si>
  <si>
    <t>Encaminhar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</si>
</sst>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0">
    <xf numFmtId="0" fontId="0" fillId="0" borderId="0" xfId="0"/>
    <xf numFmtId="0" fontId="4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/>
    <xf numFmtId="0" fontId="4" fillId="3" borderId="2" xfId="0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17" fontId="4" fillId="3" borderId="1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4" fillId="3" borderId="0" xfId="0" applyFont="1" applyFill="1"/>
    <xf numFmtId="0" fontId="4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9" fontId="4" fillId="2" borderId="0" xfId="1" applyFon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L25"/>
  <sheetViews>
    <sheetView showGridLines="0" tabSelected="1" zoomScaleNormal="100" workbookViewId="0">
      <selection activeCell="L25" sqref="L25"/>
    </sheetView>
  </sheetViews>
  <sheetFormatPr defaultColWidth="9.5703125" defaultRowHeight="15.75" x14ac:dyDescent="0.25"/>
  <cols>
    <col min="1" max="1" width="10.85546875" style="4" bestFit="1" customWidth="1"/>
    <col min="2" max="2" width="22.5703125" style="1" customWidth="1"/>
    <col min="3" max="3" width="13" style="4" customWidth="1"/>
    <col min="4" max="4" width="13.28515625" style="4" bestFit="1" customWidth="1"/>
    <col min="5" max="5" width="19.85546875" style="4" bestFit="1" customWidth="1"/>
    <col min="6" max="6" width="19.140625" style="4" bestFit="1" customWidth="1"/>
    <col min="7" max="7" width="14.7109375" style="4" bestFit="1" customWidth="1"/>
    <col min="8" max="8" width="13.140625" style="4" bestFit="1" customWidth="1"/>
    <col min="9" max="9" width="15.140625" style="4" customWidth="1"/>
    <col min="10" max="10" width="16.140625" style="4" customWidth="1"/>
    <col min="11" max="11" width="18.5703125" style="4" bestFit="1" customWidth="1"/>
    <col min="12" max="16384" width="9.5703125" style="1"/>
  </cols>
  <sheetData>
    <row r="1" spans="1:12" s="3" customFormat="1" x14ac:dyDescent="0.25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2" s="12" customFormat="1" x14ac:dyDescent="0.25">
      <c r="A2" s="13" t="s">
        <v>11</v>
      </c>
      <c r="B2" s="14" t="s">
        <v>23</v>
      </c>
      <c r="C2" s="15">
        <v>2025</v>
      </c>
      <c r="D2" s="7">
        <v>50</v>
      </c>
      <c r="E2" s="8">
        <v>46006</v>
      </c>
      <c r="F2" s="9">
        <v>46010</v>
      </c>
      <c r="G2" s="16">
        <v>7227</v>
      </c>
      <c r="H2" s="10">
        <v>45992</v>
      </c>
      <c r="I2" s="8">
        <v>46006</v>
      </c>
      <c r="J2" s="16" t="s">
        <v>27</v>
      </c>
      <c r="K2" s="16" t="s">
        <v>13</v>
      </c>
      <c r="L2" s="12">
        <f>IF(J2="Resolvido",1,"")</f>
        <v>1</v>
      </c>
    </row>
    <row r="3" spans="1:12" s="12" customFormat="1" x14ac:dyDescent="0.25">
      <c r="A3" s="13" t="s">
        <v>11</v>
      </c>
      <c r="B3" s="17" t="s">
        <v>23</v>
      </c>
      <c r="C3" s="15">
        <v>2025</v>
      </c>
      <c r="D3" s="7">
        <v>50</v>
      </c>
      <c r="E3" s="8">
        <v>46006</v>
      </c>
      <c r="F3" s="9">
        <v>46010</v>
      </c>
      <c r="G3" s="16">
        <v>7228</v>
      </c>
      <c r="H3" s="10">
        <v>45992</v>
      </c>
      <c r="I3" s="8">
        <v>46006</v>
      </c>
      <c r="J3" s="16" t="s">
        <v>27</v>
      </c>
      <c r="K3" s="16" t="s">
        <v>13</v>
      </c>
      <c r="L3" s="12">
        <f t="shared" ref="L3:L23" si="0">IF(J3="Resolvido",1,"")</f>
        <v>1</v>
      </c>
    </row>
    <row r="4" spans="1:12" s="12" customFormat="1" x14ac:dyDescent="0.25">
      <c r="A4" s="13" t="s">
        <v>11</v>
      </c>
      <c r="B4" s="17" t="s">
        <v>14</v>
      </c>
      <c r="C4" s="15">
        <v>2025</v>
      </c>
      <c r="D4" s="7">
        <v>50</v>
      </c>
      <c r="E4" s="8">
        <v>46006</v>
      </c>
      <c r="F4" s="9">
        <v>46010</v>
      </c>
      <c r="G4" s="16">
        <v>7400</v>
      </c>
      <c r="H4" s="10">
        <v>45992</v>
      </c>
      <c r="I4" s="8">
        <v>46006</v>
      </c>
      <c r="J4" s="16" t="s">
        <v>12</v>
      </c>
      <c r="K4" s="16" t="s">
        <v>13</v>
      </c>
      <c r="L4" s="12" t="str">
        <f t="shared" si="0"/>
        <v/>
      </c>
    </row>
    <row r="5" spans="1:12" s="12" customFormat="1" x14ac:dyDescent="0.25">
      <c r="A5" s="13" t="s">
        <v>11</v>
      </c>
      <c r="B5" s="17" t="s">
        <v>22</v>
      </c>
      <c r="C5" s="15">
        <v>2025</v>
      </c>
      <c r="D5" s="7">
        <v>50</v>
      </c>
      <c r="E5" s="8">
        <v>46006</v>
      </c>
      <c r="F5" s="9">
        <v>46010</v>
      </c>
      <c r="G5" s="16">
        <v>7135</v>
      </c>
      <c r="H5" s="10">
        <v>45992</v>
      </c>
      <c r="I5" s="8">
        <v>46006</v>
      </c>
      <c r="J5" s="16" t="s">
        <v>27</v>
      </c>
      <c r="K5" s="16" t="s">
        <v>13</v>
      </c>
      <c r="L5" s="12">
        <f t="shared" si="0"/>
        <v>1</v>
      </c>
    </row>
    <row r="6" spans="1:12" s="12" customFormat="1" x14ac:dyDescent="0.25">
      <c r="A6" s="13" t="s">
        <v>11</v>
      </c>
      <c r="B6" s="17" t="s">
        <v>22</v>
      </c>
      <c r="C6" s="15">
        <v>2025</v>
      </c>
      <c r="D6" s="7">
        <v>50</v>
      </c>
      <c r="E6" s="8">
        <v>46006</v>
      </c>
      <c r="F6" s="9">
        <v>46010</v>
      </c>
      <c r="G6" s="16">
        <v>7165</v>
      </c>
      <c r="H6" s="10">
        <v>45992</v>
      </c>
      <c r="I6" s="8">
        <v>46006</v>
      </c>
      <c r="J6" s="16" t="s">
        <v>27</v>
      </c>
      <c r="K6" s="16" t="s">
        <v>13</v>
      </c>
      <c r="L6" s="12">
        <f t="shared" si="0"/>
        <v>1</v>
      </c>
    </row>
    <row r="7" spans="1:12" s="12" customFormat="1" x14ac:dyDescent="0.25">
      <c r="A7" s="13" t="s">
        <v>11</v>
      </c>
      <c r="B7" s="17" t="s">
        <v>22</v>
      </c>
      <c r="C7" s="15">
        <v>2025</v>
      </c>
      <c r="D7" s="7">
        <v>50</v>
      </c>
      <c r="E7" s="8">
        <v>46006</v>
      </c>
      <c r="F7" s="9">
        <v>46010</v>
      </c>
      <c r="G7" s="16">
        <v>7175</v>
      </c>
      <c r="H7" s="10">
        <v>45992</v>
      </c>
      <c r="I7" s="8">
        <v>46006</v>
      </c>
      <c r="J7" s="16" t="s">
        <v>27</v>
      </c>
      <c r="K7" s="16" t="s">
        <v>13</v>
      </c>
      <c r="L7" s="12">
        <f t="shared" si="0"/>
        <v>1</v>
      </c>
    </row>
    <row r="8" spans="1:12" s="12" customFormat="1" x14ac:dyDescent="0.25">
      <c r="A8" s="13" t="s">
        <v>11</v>
      </c>
      <c r="B8" s="17" t="s">
        <v>22</v>
      </c>
      <c r="C8" s="15">
        <v>2025</v>
      </c>
      <c r="D8" s="7">
        <v>50</v>
      </c>
      <c r="E8" s="8">
        <v>46006</v>
      </c>
      <c r="F8" s="9">
        <v>46010</v>
      </c>
      <c r="G8" s="16">
        <v>7258</v>
      </c>
      <c r="H8" s="10">
        <v>45992</v>
      </c>
      <c r="I8" s="8">
        <v>46006</v>
      </c>
      <c r="J8" s="16" t="s">
        <v>27</v>
      </c>
      <c r="K8" s="16" t="s">
        <v>13</v>
      </c>
      <c r="L8" s="12">
        <f t="shared" si="0"/>
        <v>1</v>
      </c>
    </row>
    <row r="9" spans="1:12" s="12" customFormat="1" x14ac:dyDescent="0.25">
      <c r="A9" s="13" t="s">
        <v>11</v>
      </c>
      <c r="B9" s="17" t="s">
        <v>22</v>
      </c>
      <c r="C9" s="15">
        <v>2025</v>
      </c>
      <c r="D9" s="7">
        <v>50</v>
      </c>
      <c r="E9" s="8">
        <v>46006</v>
      </c>
      <c r="F9" s="9">
        <v>46010</v>
      </c>
      <c r="G9" s="16">
        <v>7401</v>
      </c>
      <c r="H9" s="10">
        <v>45992</v>
      </c>
      <c r="I9" s="8">
        <v>46006</v>
      </c>
      <c r="J9" s="16" t="s">
        <v>27</v>
      </c>
      <c r="K9" s="16" t="s">
        <v>13</v>
      </c>
      <c r="L9" s="12">
        <f t="shared" si="0"/>
        <v>1</v>
      </c>
    </row>
    <row r="10" spans="1:12" s="12" customFormat="1" x14ac:dyDescent="0.25">
      <c r="A10" s="13" t="s">
        <v>11</v>
      </c>
      <c r="B10" s="17" t="s">
        <v>20</v>
      </c>
      <c r="C10" s="15">
        <v>2025</v>
      </c>
      <c r="D10" s="7">
        <v>50</v>
      </c>
      <c r="E10" s="8">
        <v>46006</v>
      </c>
      <c r="F10" s="9">
        <v>46010</v>
      </c>
      <c r="G10" s="16">
        <v>6281</v>
      </c>
      <c r="H10" s="10">
        <v>45962</v>
      </c>
      <c r="I10" s="8">
        <v>46006</v>
      </c>
      <c r="J10" s="16" t="s">
        <v>12</v>
      </c>
      <c r="K10" s="16" t="s">
        <v>13</v>
      </c>
      <c r="L10" s="12" t="str">
        <f t="shared" si="0"/>
        <v/>
      </c>
    </row>
    <row r="11" spans="1:12" s="12" customFormat="1" x14ac:dyDescent="0.25">
      <c r="A11" s="13" t="s">
        <v>11</v>
      </c>
      <c r="B11" s="18" t="s">
        <v>20</v>
      </c>
      <c r="C11" s="15">
        <v>2025</v>
      </c>
      <c r="D11" s="7">
        <v>50</v>
      </c>
      <c r="E11" s="8">
        <v>46006</v>
      </c>
      <c r="F11" s="9">
        <v>46010</v>
      </c>
      <c r="G11" s="16">
        <v>6992</v>
      </c>
      <c r="H11" s="10">
        <v>45992</v>
      </c>
      <c r="I11" s="8">
        <v>46006</v>
      </c>
      <c r="J11" s="16" t="s">
        <v>27</v>
      </c>
      <c r="K11" s="16" t="s">
        <v>13</v>
      </c>
      <c r="L11" s="12">
        <f t="shared" si="0"/>
        <v>1</v>
      </c>
    </row>
    <row r="12" spans="1:12" s="12" customFormat="1" x14ac:dyDescent="0.25">
      <c r="A12" s="13" t="s">
        <v>11</v>
      </c>
      <c r="B12" s="17" t="s">
        <v>20</v>
      </c>
      <c r="C12" s="15">
        <v>2025</v>
      </c>
      <c r="D12" s="7">
        <v>50</v>
      </c>
      <c r="E12" s="8">
        <v>46006</v>
      </c>
      <c r="F12" s="9">
        <v>46010</v>
      </c>
      <c r="G12" s="16">
        <v>7335</v>
      </c>
      <c r="H12" s="10">
        <v>45992</v>
      </c>
      <c r="I12" s="8">
        <v>46006</v>
      </c>
      <c r="J12" s="16" t="s">
        <v>27</v>
      </c>
      <c r="K12" s="16" t="s">
        <v>13</v>
      </c>
      <c r="L12" s="12">
        <f t="shared" si="0"/>
        <v>1</v>
      </c>
    </row>
    <row r="13" spans="1:12" s="12" customFormat="1" x14ac:dyDescent="0.25">
      <c r="A13" s="13" t="s">
        <v>11</v>
      </c>
      <c r="B13" s="17" t="s">
        <v>19</v>
      </c>
      <c r="C13" s="15">
        <v>2025</v>
      </c>
      <c r="D13" s="7">
        <v>50</v>
      </c>
      <c r="E13" s="8">
        <v>46006</v>
      </c>
      <c r="F13" s="9">
        <v>46010</v>
      </c>
      <c r="G13" s="16">
        <v>7213</v>
      </c>
      <c r="H13" s="10">
        <v>45992</v>
      </c>
      <c r="I13" s="8">
        <v>46006</v>
      </c>
      <c r="J13" s="16" t="s">
        <v>27</v>
      </c>
      <c r="K13" s="16" t="s">
        <v>13</v>
      </c>
      <c r="L13" s="12">
        <f t="shared" si="0"/>
        <v>1</v>
      </c>
    </row>
    <row r="14" spans="1:12" s="12" customFormat="1" x14ac:dyDescent="0.25">
      <c r="A14" s="13" t="s">
        <v>11</v>
      </c>
      <c r="B14" s="17" t="s">
        <v>19</v>
      </c>
      <c r="C14" s="15">
        <v>2025</v>
      </c>
      <c r="D14" s="7">
        <v>50</v>
      </c>
      <c r="E14" s="8">
        <v>46006</v>
      </c>
      <c r="F14" s="9">
        <v>46010</v>
      </c>
      <c r="G14" s="16">
        <v>7269</v>
      </c>
      <c r="H14" s="10">
        <v>45992</v>
      </c>
      <c r="I14" s="8">
        <v>46006</v>
      </c>
      <c r="J14" s="16" t="s">
        <v>27</v>
      </c>
      <c r="K14" s="16" t="s">
        <v>13</v>
      </c>
      <c r="L14" s="12">
        <f t="shared" si="0"/>
        <v>1</v>
      </c>
    </row>
    <row r="15" spans="1:12" s="12" customFormat="1" x14ac:dyDescent="0.25">
      <c r="A15" s="13" t="s">
        <v>11</v>
      </c>
      <c r="B15" s="17" t="s">
        <v>19</v>
      </c>
      <c r="C15" s="15">
        <v>2025</v>
      </c>
      <c r="D15" s="7">
        <v>50</v>
      </c>
      <c r="E15" s="8">
        <v>46006</v>
      </c>
      <c r="F15" s="9">
        <v>46010</v>
      </c>
      <c r="G15" s="16">
        <v>7348</v>
      </c>
      <c r="H15" s="10">
        <v>45992</v>
      </c>
      <c r="I15" s="8">
        <v>46006</v>
      </c>
      <c r="J15" s="16" t="s">
        <v>27</v>
      </c>
      <c r="K15" s="16" t="s">
        <v>13</v>
      </c>
      <c r="L15" s="12">
        <f t="shared" si="0"/>
        <v>1</v>
      </c>
    </row>
    <row r="16" spans="1:12" s="12" customFormat="1" x14ac:dyDescent="0.25">
      <c r="A16" s="13" t="s">
        <v>11</v>
      </c>
      <c r="B16" s="18" t="s">
        <v>19</v>
      </c>
      <c r="C16" s="15">
        <v>2025</v>
      </c>
      <c r="D16" s="7">
        <v>50</v>
      </c>
      <c r="E16" s="8">
        <v>46006</v>
      </c>
      <c r="F16" s="9">
        <v>46010</v>
      </c>
      <c r="G16" s="16">
        <v>7389</v>
      </c>
      <c r="H16" s="10">
        <v>45992</v>
      </c>
      <c r="I16" s="8">
        <v>46006</v>
      </c>
      <c r="J16" s="16" t="s">
        <v>27</v>
      </c>
      <c r="K16" s="16" t="s">
        <v>13</v>
      </c>
      <c r="L16" s="12">
        <f t="shared" si="0"/>
        <v>1</v>
      </c>
    </row>
    <row r="17" spans="1:12" s="12" customFormat="1" x14ac:dyDescent="0.25">
      <c r="A17" s="13" t="s">
        <v>11</v>
      </c>
      <c r="B17" s="17" t="s">
        <v>17</v>
      </c>
      <c r="C17" s="15">
        <v>2025</v>
      </c>
      <c r="D17" s="7">
        <v>50</v>
      </c>
      <c r="E17" s="8">
        <v>46006</v>
      </c>
      <c r="F17" s="9">
        <v>46010</v>
      </c>
      <c r="G17" s="16">
        <v>7117</v>
      </c>
      <c r="H17" s="10">
        <v>45992</v>
      </c>
      <c r="I17" s="8">
        <v>46006</v>
      </c>
      <c r="J17" s="16" t="s">
        <v>27</v>
      </c>
      <c r="K17" s="16" t="s">
        <v>13</v>
      </c>
      <c r="L17" s="12">
        <f t="shared" si="0"/>
        <v>1</v>
      </c>
    </row>
    <row r="18" spans="1:12" s="12" customFormat="1" x14ac:dyDescent="0.25">
      <c r="A18" s="13" t="s">
        <v>11</v>
      </c>
      <c r="B18" s="18" t="s">
        <v>17</v>
      </c>
      <c r="C18" s="15">
        <v>2025</v>
      </c>
      <c r="D18" s="7">
        <v>50</v>
      </c>
      <c r="E18" s="8">
        <v>46006</v>
      </c>
      <c r="F18" s="9">
        <v>46010</v>
      </c>
      <c r="G18" s="16">
        <v>7123</v>
      </c>
      <c r="H18" s="10">
        <v>45992</v>
      </c>
      <c r="I18" s="8">
        <v>46006</v>
      </c>
      <c r="J18" s="16" t="s">
        <v>27</v>
      </c>
      <c r="K18" s="16" t="s">
        <v>13</v>
      </c>
      <c r="L18" s="12">
        <f t="shared" si="0"/>
        <v>1</v>
      </c>
    </row>
    <row r="19" spans="1:12" s="12" customFormat="1" x14ac:dyDescent="0.25">
      <c r="A19" s="13" t="s">
        <v>11</v>
      </c>
      <c r="B19" s="17" t="s">
        <v>17</v>
      </c>
      <c r="C19" s="15">
        <v>2025</v>
      </c>
      <c r="D19" s="7">
        <v>50</v>
      </c>
      <c r="E19" s="8">
        <v>46006</v>
      </c>
      <c r="F19" s="9">
        <v>46010</v>
      </c>
      <c r="G19" s="16">
        <v>7202</v>
      </c>
      <c r="H19" s="10">
        <v>45992</v>
      </c>
      <c r="I19" s="8">
        <v>46006</v>
      </c>
      <c r="J19" s="16" t="s">
        <v>27</v>
      </c>
      <c r="K19" s="16" t="s">
        <v>13</v>
      </c>
      <c r="L19" s="12">
        <f t="shared" si="0"/>
        <v>1</v>
      </c>
    </row>
    <row r="20" spans="1:12" s="12" customFormat="1" x14ac:dyDescent="0.25">
      <c r="A20" s="13" t="s">
        <v>11</v>
      </c>
      <c r="B20" s="18" t="s">
        <v>21</v>
      </c>
      <c r="C20" s="15">
        <v>2025</v>
      </c>
      <c r="D20" s="7">
        <v>50</v>
      </c>
      <c r="E20" s="8">
        <v>46006</v>
      </c>
      <c r="F20" s="9">
        <v>46010</v>
      </c>
      <c r="G20" s="16">
        <v>6600</v>
      </c>
      <c r="H20" s="10">
        <v>45992</v>
      </c>
      <c r="I20" s="8">
        <v>46006</v>
      </c>
      <c r="J20" s="16" t="s">
        <v>12</v>
      </c>
      <c r="K20" s="16" t="s">
        <v>13</v>
      </c>
      <c r="L20" s="12" t="str">
        <f t="shared" si="0"/>
        <v/>
      </c>
    </row>
    <row r="21" spans="1:12" s="12" customFormat="1" x14ac:dyDescent="0.25">
      <c r="A21" s="13" t="s">
        <v>11</v>
      </c>
      <c r="B21" s="17" t="s">
        <v>25</v>
      </c>
      <c r="C21" s="15">
        <v>2025</v>
      </c>
      <c r="D21" s="7">
        <v>50</v>
      </c>
      <c r="E21" s="8">
        <v>46006</v>
      </c>
      <c r="F21" s="9">
        <v>46010</v>
      </c>
      <c r="G21" s="16">
        <v>7403</v>
      </c>
      <c r="H21" s="10">
        <v>45992</v>
      </c>
      <c r="I21" s="8">
        <v>46006</v>
      </c>
      <c r="J21" s="16" t="s">
        <v>27</v>
      </c>
      <c r="K21" s="16" t="s">
        <v>13</v>
      </c>
      <c r="L21" s="12">
        <f t="shared" si="0"/>
        <v>1</v>
      </c>
    </row>
    <row r="22" spans="1:12" s="12" customFormat="1" x14ac:dyDescent="0.25">
      <c r="A22" s="13" t="s">
        <v>11</v>
      </c>
      <c r="B22" s="17" t="s">
        <v>24</v>
      </c>
      <c r="C22" s="15">
        <v>2025</v>
      </c>
      <c r="D22" s="7">
        <v>50</v>
      </c>
      <c r="E22" s="8">
        <v>46006</v>
      </c>
      <c r="F22" s="9">
        <v>46010</v>
      </c>
      <c r="G22" s="16">
        <v>7323</v>
      </c>
      <c r="H22" s="10">
        <v>45992</v>
      </c>
      <c r="I22" s="8">
        <v>46006</v>
      </c>
      <c r="J22" s="16" t="s">
        <v>12</v>
      </c>
      <c r="K22" s="16" t="s">
        <v>13</v>
      </c>
      <c r="L22" s="12" t="str">
        <f t="shared" si="0"/>
        <v/>
      </c>
    </row>
    <row r="23" spans="1:12" s="12" customFormat="1" x14ac:dyDescent="0.25">
      <c r="A23" s="13" t="s">
        <v>11</v>
      </c>
      <c r="B23" s="18" t="s">
        <v>24</v>
      </c>
      <c r="C23" s="15">
        <v>2025</v>
      </c>
      <c r="D23" s="7">
        <v>50</v>
      </c>
      <c r="E23" s="8">
        <v>46006</v>
      </c>
      <c r="F23" s="9">
        <v>46010</v>
      </c>
      <c r="G23" s="16">
        <v>7330</v>
      </c>
      <c r="H23" s="10">
        <v>45992</v>
      </c>
      <c r="I23" s="8">
        <v>46006</v>
      </c>
      <c r="J23" s="16" t="s">
        <v>27</v>
      </c>
      <c r="K23" s="16" t="s">
        <v>13</v>
      </c>
      <c r="L23" s="12">
        <f t="shared" si="0"/>
        <v>1</v>
      </c>
    </row>
    <row r="24" spans="1:12" x14ac:dyDescent="0.25">
      <c r="L24" s="1">
        <f>SUM(L2:L23)</f>
        <v>18</v>
      </c>
    </row>
    <row r="25" spans="1:12" x14ac:dyDescent="0.25">
      <c r="L25" s="19">
        <f>(L24/22)*100</f>
        <v>81.818181818181827</v>
      </c>
    </row>
  </sheetData>
  <autoFilter ref="A1:K20" xr:uid="{69362A46-9E44-40AB-81A2-018EE27C1DC6}">
    <sortState xmlns:xlrd2="http://schemas.microsoft.com/office/spreadsheetml/2017/richdata2" ref="A2:K23">
      <sortCondition ref="B1:B20"/>
    </sortState>
  </autoFilter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L4"/>
  <sheetViews>
    <sheetView showGridLines="0" zoomScaleNormal="100" workbookViewId="0">
      <selection activeCell="K9" sqref="K9"/>
    </sheetView>
  </sheetViews>
  <sheetFormatPr defaultColWidth="11" defaultRowHeight="15.75" x14ac:dyDescent="0.25"/>
  <cols>
    <col min="1" max="1" width="7.7109375" style="4" customWidth="1"/>
    <col min="2" max="2" width="13.140625" style="4" bestFit="1" customWidth="1"/>
    <col min="3" max="3" width="5.5703125" style="4" bestFit="1" customWidth="1"/>
    <col min="4" max="4" width="8.7109375" style="4" bestFit="1" customWidth="1"/>
    <col min="5" max="5" width="15.28515625" style="4" bestFit="1" customWidth="1"/>
    <col min="6" max="6" width="14.5703125" style="4" bestFit="1" customWidth="1"/>
    <col min="7" max="7" width="10.140625" style="4" bestFit="1" customWidth="1"/>
    <col min="8" max="9" width="12.42578125" style="4" bestFit="1" customWidth="1"/>
    <col min="10" max="10" width="9.85546875" style="4" bestFit="1" customWidth="1"/>
    <col min="11" max="11" width="14" style="4" bestFit="1" customWidth="1"/>
    <col min="12" max="16384" width="11" style="1"/>
  </cols>
  <sheetData>
    <row r="1" spans="1:12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2" s="12" customFormat="1" x14ac:dyDescent="0.25">
      <c r="A2" s="7" t="s">
        <v>15</v>
      </c>
      <c r="B2" s="7" t="s">
        <v>18</v>
      </c>
      <c r="C2" s="7">
        <v>2025</v>
      </c>
      <c r="D2" s="7">
        <v>50</v>
      </c>
      <c r="E2" s="8">
        <v>46006</v>
      </c>
      <c r="F2" s="9">
        <v>46010</v>
      </c>
      <c r="G2" s="7">
        <v>6554</v>
      </c>
      <c r="H2" s="10">
        <v>45962</v>
      </c>
      <c r="I2" s="8">
        <v>46006</v>
      </c>
      <c r="J2" s="11" t="s">
        <v>27</v>
      </c>
      <c r="K2" s="7" t="s">
        <v>16</v>
      </c>
    </row>
    <row r="3" spans="1:12" s="12" customFormat="1" x14ac:dyDescent="0.25">
      <c r="A3" s="7" t="s">
        <v>15</v>
      </c>
      <c r="B3" s="7" t="s">
        <v>26</v>
      </c>
      <c r="C3" s="7">
        <v>2025</v>
      </c>
      <c r="D3" s="7">
        <v>50</v>
      </c>
      <c r="E3" s="8">
        <v>46006</v>
      </c>
      <c r="F3" s="9">
        <v>46010</v>
      </c>
      <c r="G3" s="7">
        <v>7209</v>
      </c>
      <c r="H3" s="10">
        <v>45992</v>
      </c>
      <c r="I3" s="8">
        <v>46006</v>
      </c>
      <c r="J3" s="11" t="s">
        <v>12</v>
      </c>
      <c r="K3" s="7" t="s">
        <v>16</v>
      </c>
      <c r="L3" s="12" t="s">
        <v>28</v>
      </c>
    </row>
    <row r="4" spans="1:12" s="12" customFormat="1" x14ac:dyDescent="0.25">
      <c r="A4" s="7" t="s">
        <v>15</v>
      </c>
      <c r="B4" s="7" t="s">
        <v>18</v>
      </c>
      <c r="C4" s="7">
        <v>2025</v>
      </c>
      <c r="D4" s="7">
        <v>50</v>
      </c>
      <c r="E4" s="8">
        <v>46006</v>
      </c>
      <c r="F4" s="9">
        <v>46010</v>
      </c>
      <c r="G4" s="7">
        <v>7380</v>
      </c>
      <c r="H4" s="10">
        <v>45992</v>
      </c>
      <c r="I4" s="8">
        <v>46006</v>
      </c>
      <c r="J4" s="11" t="s">
        <v>27</v>
      </c>
      <c r="K4" s="7" t="s">
        <v>16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FRANCISCO JOSE PEREIRA</cp:lastModifiedBy>
  <cp:revision/>
  <dcterms:created xsi:type="dcterms:W3CDTF">2024-10-11T15:33:30Z</dcterms:created>
  <dcterms:modified xsi:type="dcterms:W3CDTF">2025-12-19T20:13:30Z</dcterms:modified>
  <cp:category/>
  <cp:contentStatus/>
</cp:coreProperties>
</file>